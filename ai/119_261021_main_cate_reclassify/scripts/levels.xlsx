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o-Yu\OneDrive - david082321\桌面\"/>
    </mc:Choice>
  </mc:AlternateContent>
  <xr:revisionPtr revIDLastSave="0" documentId="8_{80CCC3CB-F3FA-4FD4-82D7-2D4254A4C0F5}" xr6:coauthVersionLast="47" xr6:coauthVersionMax="47" xr10:uidLastSave="{00000000-0000-0000-0000-000000000000}"/>
  <bookViews>
    <workbookView xWindow="-110" yWindow="-110" windowWidth="19420" windowHeight="10300" activeTab="2" xr2:uid="{0EA6D870-1747-4CD7-AD23-3D99BFCC49AB}"/>
  </bookViews>
  <sheets>
    <sheet name="工作表1" sheetId="1" r:id="rId1"/>
    <sheet name="火災分級-原本" sheetId="2" r:id="rId2"/>
    <sheet name="火災分級-修正" sheetId="3" r:id="rId3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17" i="1" l="1"/>
  <c r="K17" i="1"/>
  <c r="L17" i="1"/>
  <c r="E15" i="1"/>
  <c r="E17" i="1" s="1"/>
  <c r="D15" i="1"/>
  <c r="F15" i="1"/>
  <c r="F17" i="1" s="1"/>
  <c r="G15" i="1"/>
  <c r="G17" i="1" s="1"/>
  <c r="H15" i="1"/>
  <c r="H17" i="1" s="1"/>
  <c r="I15" i="1"/>
  <c r="I17" i="1" s="1"/>
  <c r="J15" i="1"/>
  <c r="K15" i="1"/>
  <c r="L15" i="1"/>
  <c r="C15" i="1"/>
</calcChain>
</file>

<file path=xl/sharedStrings.xml><?xml version="1.0" encoding="utf-8"?>
<sst xmlns="http://schemas.openxmlformats.org/spreadsheetml/2006/main" count="426" uniqueCount="129">
  <si>
    <t>分隊數</t>
  </si>
  <si>
    <t>水箱車</t>
  </si>
  <si>
    <t>小氣墊</t>
    <phoneticPr fontId="1" type="noConversion"/>
  </si>
  <si>
    <t>船艇</t>
    <phoneticPr fontId="1" type="noConversion"/>
  </si>
  <si>
    <t>指揮</t>
    <phoneticPr fontId="1" type="noConversion"/>
  </si>
  <si>
    <t>救護車</t>
    <phoneticPr fontId="1" type="noConversion"/>
  </si>
  <si>
    <t>雲梯車</t>
    <phoneticPr fontId="1" type="noConversion"/>
  </si>
  <si>
    <t>水庫車</t>
    <phoneticPr fontId="1" type="noConversion"/>
  </si>
  <si>
    <t>器材車</t>
    <phoneticPr fontId="1" type="noConversion"/>
  </si>
  <si>
    <t>空壓車</t>
    <phoneticPr fontId="1" type="noConversion"/>
  </si>
  <si>
    <t>排煙車</t>
    <phoneticPr fontId="1" type="noConversion"/>
  </si>
  <si>
    <t>大氣墊</t>
    <phoneticPr fontId="1" type="noConversion"/>
  </si>
  <si>
    <t>車禍
救助</t>
    <phoneticPr fontId="1" type="noConversion"/>
  </si>
  <si>
    <t>車組數</t>
    <phoneticPr fontId="1" type="noConversion"/>
  </si>
  <si>
    <t>車/分比</t>
    <phoneticPr fontId="1" type="noConversion"/>
  </si>
  <si>
    <r>
      <t>備註：一開始</t>
    </r>
    <r>
      <rPr>
        <b/>
        <sz val="14"/>
        <color rgb="FFFF0000"/>
        <rFont val="標楷體"/>
        <family val="4"/>
        <charset val="136"/>
      </rPr>
      <t>按火1</t>
    </r>
    <r>
      <rPr>
        <sz val="14"/>
        <color rgb="FFFF0000"/>
        <rFont val="標楷體"/>
        <family val="4"/>
        <charset val="136"/>
      </rPr>
      <t>派遣，可以再</t>
    </r>
    <r>
      <rPr>
        <b/>
        <sz val="14"/>
        <color rgb="FFFF0000"/>
        <rFont val="標楷體"/>
        <family val="4"/>
        <charset val="136"/>
      </rPr>
      <t>按火2</t>
    </r>
    <r>
      <rPr>
        <sz val="14"/>
        <color rgb="FFFF0000"/>
        <rFont val="標楷體"/>
        <family val="4"/>
        <charset val="136"/>
      </rPr>
      <t>，補足</t>
    </r>
    <r>
      <rPr>
        <b/>
        <sz val="14"/>
        <color rgb="FFFF0000"/>
        <rFont val="標楷體"/>
        <family val="4"/>
        <charset val="136"/>
      </rPr>
      <t>火2-火1</t>
    </r>
    <r>
      <rPr>
        <sz val="14"/>
        <color rgb="FFFF0000"/>
        <rFont val="標楷體"/>
        <family val="4"/>
        <charset val="136"/>
      </rPr>
      <t>車輛派遣</t>
    </r>
    <phoneticPr fontId="1" type="noConversion"/>
  </si>
  <si>
    <t>分隊</t>
    <phoneticPr fontId="1" type="noConversion"/>
  </si>
  <si>
    <t>中隊</t>
    <phoneticPr fontId="1" type="noConversion"/>
  </si>
  <si>
    <t>大隊</t>
    <phoneticPr fontId="1" type="noConversion"/>
  </si>
  <si>
    <t>跳樓救助</t>
    <phoneticPr fontId="1" type="noConversion"/>
  </si>
  <si>
    <t>水/海
域</t>
    <phoneticPr fontId="1" type="noConversion"/>
  </si>
  <si>
    <t>救護
1</t>
    <phoneticPr fontId="1" type="noConversion"/>
  </si>
  <si>
    <t>救護
2</t>
    <phoneticPr fontId="1" type="noConversion"/>
  </si>
  <si>
    <t>火災
0</t>
    <phoneticPr fontId="1" type="noConversion"/>
  </si>
  <si>
    <t>火災
1</t>
    <phoneticPr fontId="1" type="noConversion"/>
  </si>
  <si>
    <t>火災
2</t>
    <phoneticPr fontId="1" type="noConversion"/>
  </si>
  <si>
    <t>火災
3</t>
    <phoneticPr fontId="1" type="noConversion"/>
  </si>
  <si>
    <t>火災
4</t>
    <phoneticPr fontId="1" type="noConversion"/>
  </si>
  <si>
    <t>實體按鈕，快速點選，基本車組</t>
    <phoneticPr fontId="1" type="noConversion"/>
  </si>
  <si>
    <t>群
組</t>
    <phoneticPr fontId="1" type="noConversion"/>
  </si>
  <si>
    <t>順
序</t>
    <phoneticPr fontId="1" type="noConversion"/>
  </si>
  <si>
    <t>狀況細項</t>
    <phoneticPr fontId="1" type="noConversion"/>
  </si>
  <si>
    <t>攻擊
水箱車</t>
    <phoneticPr fontId="1" type="noConversion"/>
  </si>
  <si>
    <t>水源
水箱車</t>
    <phoneticPr fontId="1" type="noConversion"/>
  </si>
  <si>
    <t>水庫
消防車</t>
    <phoneticPr fontId="1" type="noConversion"/>
  </si>
  <si>
    <t>救護
車</t>
    <phoneticPr fontId="1" type="noConversion"/>
  </si>
  <si>
    <t>30-50
雲梯車</t>
    <phoneticPr fontId="1" type="noConversion"/>
  </si>
  <si>
    <t>50M以上
雲梯車</t>
    <phoneticPr fontId="1" type="noConversion"/>
  </si>
  <si>
    <t>化學
消防車</t>
    <phoneticPr fontId="1" type="noConversion"/>
  </si>
  <si>
    <t>器材
車</t>
    <phoneticPr fontId="1" type="noConversion"/>
  </si>
  <si>
    <t>空壓
照明車</t>
    <phoneticPr fontId="1" type="noConversion"/>
  </si>
  <si>
    <t>排煙
車</t>
    <phoneticPr fontId="1" type="noConversion"/>
  </si>
  <si>
    <t>A</t>
  </si>
  <si>
    <t>有火焰</t>
  </si>
  <si>
    <t>無火焰</t>
  </si>
  <si>
    <t>黑煙</t>
  </si>
  <si>
    <t>白煙</t>
  </si>
  <si>
    <t>其他色煙</t>
  </si>
  <si>
    <t>無煙</t>
  </si>
  <si>
    <t>有人受困</t>
  </si>
  <si>
    <t>無人受困</t>
  </si>
  <si>
    <t>有爆炸</t>
  </si>
  <si>
    <t>無爆炸</t>
  </si>
  <si>
    <t>極可能或已延燒</t>
  </si>
  <si>
    <t>延燒可能性低</t>
  </si>
  <si>
    <t>B</t>
  </si>
  <si>
    <t>旅館、百貨商場用途建築物</t>
  </si>
  <si>
    <t>運輸中樞建築物</t>
  </si>
  <si>
    <t>電影院用途建築物</t>
  </si>
  <si>
    <t>醫院老人院建築物</t>
  </si>
  <si>
    <t>毒災場所</t>
  </si>
  <si>
    <t>大型違章建築區與傳統市場(含工廠)</t>
  </si>
  <si>
    <t>石化廠建築物</t>
  </si>
  <si>
    <t>古蹟、文化財</t>
  </si>
  <si>
    <t>地下建築物(如地下街)</t>
  </si>
  <si>
    <t>高層建築物(10層樓以上)</t>
  </si>
  <si>
    <t>集合住宅</t>
  </si>
  <si>
    <t>透天厝</t>
  </si>
  <si>
    <t>倉庫</t>
  </si>
  <si>
    <t>C</t>
  </si>
  <si>
    <t>巷弄狹小</t>
  </si>
  <si>
    <t>水源缺乏</t>
  </si>
  <si>
    <t>巷弄狹小且水源缺乏</t>
  </si>
  <si>
    <t>一般時段</t>
  </si>
  <si>
    <t>夜間時段</t>
  </si>
  <si>
    <t>深夜時段</t>
  </si>
  <si>
    <t>D1</t>
  </si>
  <si>
    <t>未知樓層數</t>
  </si>
  <si>
    <t>1~3層建築物</t>
  </si>
  <si>
    <t>4~10層建築物</t>
  </si>
  <si>
    <t>11~15層建築物</t>
  </si>
  <si>
    <t>16層以上建築物</t>
  </si>
  <si>
    <t>D2</t>
  </si>
  <si>
    <t>起火未知</t>
  </si>
  <si>
    <t>地下室起火</t>
  </si>
  <si>
    <t>1~3層起火</t>
  </si>
  <si>
    <t>4~10層起火</t>
  </si>
  <si>
    <t>11~15起火</t>
  </si>
  <si>
    <t>16層以上起火</t>
  </si>
  <si>
    <t>E</t>
  </si>
  <si>
    <t>木造</t>
  </si>
  <si>
    <t>鐵皮</t>
  </si>
  <si>
    <t>連棟式鐵皮屋</t>
  </si>
  <si>
    <t>磚造</t>
  </si>
  <si>
    <t>RC</t>
  </si>
  <si>
    <t>SRC</t>
  </si>
  <si>
    <t>其他建材</t>
  </si>
  <si>
    <t>F</t>
  </si>
  <si>
    <t>未知面積</t>
  </si>
  <si>
    <t>0~50坪</t>
  </si>
  <si>
    <t>50~100坪</t>
  </si>
  <si>
    <t>100~300坪</t>
  </si>
  <si>
    <t>300~500坪</t>
  </si>
  <si>
    <t>500坪以上</t>
  </si>
  <si>
    <t>L</t>
  </si>
  <si>
    <t>汽車火警</t>
  </si>
  <si>
    <t>機車火警</t>
  </si>
  <si>
    <t>隧道火警</t>
  </si>
  <si>
    <t>軌道型交通工具火警</t>
  </si>
  <si>
    <t>化學、毒劑交通工具</t>
  </si>
  <si>
    <t>船帕</t>
  </si>
  <si>
    <t>航空器</t>
  </si>
  <si>
    <t>山林田野(平地)</t>
  </si>
  <si>
    <t>山林田野(山地)</t>
  </si>
  <si>
    <t>垃圾</t>
  </si>
  <si>
    <t>電線桿(電纜)</t>
  </si>
  <si>
    <t>瓦斯漏氣</t>
  </si>
  <si>
    <t>警報器作響</t>
  </si>
  <si>
    <t>查看案件</t>
  </si>
  <si>
    <t>三級</t>
    <phoneticPr fontId="1" type="noConversion"/>
  </si>
  <si>
    <t>二級</t>
    <phoneticPr fontId="1" type="noConversion"/>
  </si>
  <si>
    <t>一級</t>
    <phoneticPr fontId="1" type="noConversion"/>
  </si>
  <si>
    <t>0~50坪/165平方公尺</t>
    <phoneticPr fontId="1" type="noConversion"/>
  </si>
  <si>
    <t>50~100坪/330平方公尺</t>
    <phoneticPr fontId="1" type="noConversion"/>
  </si>
  <si>
    <t>100~300坪/1000平方公尺</t>
    <phoneticPr fontId="1" type="noConversion"/>
  </si>
  <si>
    <t>300~500坪/1500平方公尺</t>
    <phoneticPr fontId="1" type="noConversion"/>
  </si>
  <si>
    <t>500坪以上</t>
    <phoneticPr fontId="1" type="noConversion"/>
  </si>
  <si>
    <t>X</t>
    <phoneticPr fontId="1" type="noConversion"/>
  </si>
  <si>
    <t>資料庫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</si>
</sst>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&quot;月&quot;d&quot;日&quot;"/>
  </numFmts>
  <fonts count="8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4"/>
      <color theme="1"/>
      <name val="標楷體"/>
      <family val="4"/>
      <charset val="136"/>
    </font>
    <font>
      <sz val="14"/>
      <color rgb="FFFF0000"/>
      <name val="標楷體"/>
      <family val="4"/>
      <charset val="136"/>
    </font>
    <font>
      <b/>
      <sz val="14"/>
      <color rgb="FFFF0000"/>
      <name val="標楷體"/>
      <family val="4"/>
      <charset val="136"/>
    </font>
    <font>
      <b/>
      <sz val="14"/>
      <color theme="1"/>
      <name val="標楷體"/>
      <family val="4"/>
      <charset val="136"/>
    </font>
    <font>
      <sz val="12"/>
      <color theme="1"/>
      <name val="標楷體"/>
      <family val="4"/>
      <charset val="136"/>
    </font>
    <font>
      <sz val="10"/>
      <color theme="1"/>
      <name val="標楷體"/>
      <family val="4"/>
      <charset val="136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176" fontId="2" fillId="3" borderId="4" xfId="0" applyNumberFormat="1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 wrapText="1"/>
    </xf>
    <xf numFmtId="0" fontId="6" fillId="0" borderId="0" xfId="0" applyFont="1">
      <alignment vertical="center"/>
    </xf>
    <xf numFmtId="0" fontId="6" fillId="0" borderId="25" xfId="0" applyFont="1" applyBorder="1" applyAlignment="1">
      <alignment horizontal="center" vertical="center" wrapText="1"/>
    </xf>
    <xf numFmtId="0" fontId="6" fillId="0" borderId="26" xfId="0" applyFont="1" applyBorder="1" applyAlignment="1">
      <alignment horizontal="center" vertical="center" wrapText="1"/>
    </xf>
    <xf numFmtId="0" fontId="6" fillId="2" borderId="27" xfId="0" applyFont="1" applyFill="1" applyBorder="1" applyAlignment="1">
      <alignment horizontal="center" vertical="center" wrapText="1"/>
    </xf>
    <xf numFmtId="0" fontId="6" fillId="2" borderId="26" xfId="0" applyFont="1" applyFill="1" applyBorder="1" applyAlignment="1">
      <alignment horizontal="center" vertical="center" wrapText="1"/>
    </xf>
    <xf numFmtId="0" fontId="6" fillId="0" borderId="28" xfId="0" applyFont="1" applyBorder="1" applyAlignment="1">
      <alignment horizontal="center" vertical="center" wrapText="1"/>
    </xf>
    <xf numFmtId="0" fontId="6" fillId="0" borderId="29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31" xfId="0" applyFont="1" applyBorder="1" applyAlignment="1">
      <alignment horizontal="center" vertical="center" wrapText="1"/>
    </xf>
    <xf numFmtId="0" fontId="6" fillId="0" borderId="32" xfId="0" applyFont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6" fillId="0" borderId="33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6" fillId="2" borderId="33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6" fillId="0" borderId="27" xfId="0" applyFont="1" applyBorder="1" applyAlignment="1">
      <alignment horizontal="center" vertical="center" wrapText="1"/>
    </xf>
    <xf numFmtId="0" fontId="6" fillId="2" borderId="30" xfId="0" applyFont="1" applyFill="1" applyBorder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horizontal="center" vertical="center"/>
    </xf>
    <xf numFmtId="0" fontId="6" fillId="0" borderId="0" xfId="0" applyFont="1" applyBorder="1" applyAlignment="1">
      <alignment horizontal="center" vertical="center" wrapText="1"/>
    </xf>
    <xf numFmtId="0" fontId="6" fillId="2" borderId="0" xfId="0" applyFont="1" applyFill="1" applyBorder="1" applyAlignment="1">
      <alignment horizontal="center" vertical="center" wrapText="1"/>
    </xf>
    <xf numFmtId="0" fontId="6" fillId="0" borderId="34" xfId="0" applyFont="1" applyBorder="1" applyAlignment="1">
      <alignment horizontal="center" vertical="center" wrapText="1"/>
    </xf>
    <xf numFmtId="0" fontId="6" fillId="0" borderId="35" xfId="0" applyFont="1" applyBorder="1" applyAlignment="1">
      <alignment horizontal="center" vertical="center" wrapText="1"/>
    </xf>
    <xf numFmtId="0" fontId="6" fillId="0" borderId="36" xfId="0" applyFont="1" applyBorder="1" applyAlignment="1">
      <alignment horizontal="center" vertical="center" wrapText="1"/>
    </xf>
    <xf numFmtId="0" fontId="6" fillId="2" borderId="20" xfId="0" applyFont="1" applyFill="1" applyBorder="1" applyAlignment="1">
      <alignment horizontal="center" vertical="center" wrapText="1"/>
    </xf>
    <xf numFmtId="0" fontId="6" fillId="0" borderId="37" xfId="0" applyFont="1" applyBorder="1" applyAlignment="1">
      <alignment horizontal="center" vertical="center" wrapText="1"/>
    </xf>
    <xf numFmtId="0" fontId="6" fillId="0" borderId="38" xfId="0" applyFont="1" applyBorder="1" applyAlignment="1">
      <alignment horizontal="center" vertical="center" wrapText="1"/>
    </xf>
    <xf numFmtId="0" fontId="6" fillId="0" borderId="39" xfId="0" applyFont="1" applyBorder="1" applyAlignment="1">
      <alignment horizontal="center" vertical="center" wrapText="1"/>
    </xf>
    <xf numFmtId="0" fontId="6" fillId="2" borderId="39" xfId="0" applyFont="1" applyFill="1" applyBorder="1" applyAlignment="1">
      <alignment horizontal="center" vertical="center" wrapText="1"/>
    </xf>
    <xf numFmtId="0" fontId="6" fillId="0" borderId="40" xfId="0" applyFont="1" applyBorder="1" applyAlignment="1">
      <alignment horizontal="center" vertical="center" wrapText="1"/>
    </xf>
    <xf numFmtId="0" fontId="6" fillId="0" borderId="41" xfId="0" applyFont="1" applyBorder="1" applyAlignment="1">
      <alignment horizontal="center" vertical="center" wrapText="1"/>
    </xf>
    <xf numFmtId="0" fontId="6" fillId="0" borderId="42" xfId="0" applyFont="1" applyBorder="1" applyAlignment="1">
      <alignment horizontal="center" vertical="center" wrapText="1"/>
    </xf>
    <xf numFmtId="0" fontId="6" fillId="0" borderId="43" xfId="0" applyFont="1" applyBorder="1" applyAlignment="1">
      <alignment horizontal="center" vertical="center" wrapText="1"/>
    </xf>
    <xf numFmtId="0" fontId="6" fillId="0" borderId="44" xfId="0" applyFont="1" applyBorder="1" applyAlignment="1">
      <alignment horizontal="center" vertical="center" wrapText="1"/>
    </xf>
    <xf numFmtId="0" fontId="6" fillId="0" borderId="45" xfId="0" applyFont="1" applyBorder="1" applyAlignment="1">
      <alignment horizontal="center" vertical="center" wrapText="1"/>
    </xf>
    <xf numFmtId="0" fontId="6" fillId="0" borderId="46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6" fillId="0" borderId="47" xfId="0" applyFont="1" applyBorder="1" applyAlignment="1">
      <alignment horizontal="center" vertical="center" wrapText="1"/>
    </xf>
    <xf numFmtId="0" fontId="6" fillId="0" borderId="48" xfId="0" applyFont="1" applyBorder="1" applyAlignment="1">
      <alignment horizontal="center" vertical="center" wrapText="1"/>
    </xf>
    <xf numFmtId="0" fontId="6" fillId="2" borderId="36" xfId="0" applyFont="1" applyFill="1" applyBorder="1" applyAlignment="1">
      <alignment horizontal="center" vertical="center" wrapText="1"/>
    </xf>
    <xf numFmtId="0" fontId="6" fillId="2" borderId="44" xfId="0" applyFont="1" applyFill="1" applyBorder="1" applyAlignment="1">
      <alignment horizontal="center" vertical="center" wrapText="1"/>
    </xf>
    <xf numFmtId="0" fontId="6" fillId="2" borderId="45" xfId="0" applyFont="1" applyFill="1" applyBorder="1" applyAlignment="1">
      <alignment horizontal="center" vertical="center" wrapText="1"/>
    </xf>
    <xf numFmtId="0" fontId="6" fillId="0" borderId="37" xfId="0" applyFont="1" applyBorder="1" applyAlignment="1">
      <alignment horizontal="center" vertical="center"/>
    </xf>
    <xf numFmtId="0" fontId="7" fillId="0" borderId="39" xfId="0" applyFont="1" applyBorder="1" applyAlignment="1">
      <alignment horizontal="center" vertical="center" wrapText="1"/>
    </xf>
    <xf numFmtId="0" fontId="6" fillId="0" borderId="37" xfId="0" applyFont="1" applyBorder="1">
      <alignment vertical="center"/>
    </xf>
    <xf numFmtId="0" fontId="6" fillId="0" borderId="39" xfId="0" applyFont="1" applyBorder="1">
      <alignment vertical="center"/>
    </xf>
    <xf numFmtId="0" fontId="6" fillId="0" borderId="46" xfId="0" applyFont="1" applyBorder="1">
      <alignment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03DEB-5B02-4900-A1BE-1004B7026053}">
  <dimension ref="B1:L17"/>
  <sheetViews>
    <sheetView workbookViewId="0">
      <selection activeCell="I8" sqref="I8"/>
    </sheetView>
  </sheetViews>
  <sheetFormatPr defaultColWidth="9" defaultRowHeight="17" x14ac:dyDescent="0.4"/>
  <cols>
    <col min="1" max="1" width="5.08984375" style="1" customWidth="1"/>
    <col min="2" max="2" width="10.453125" style="1" bestFit="1" customWidth="1"/>
    <col min="3" max="11" width="6.6328125" style="1" customWidth="1"/>
    <col min="12" max="12" width="7.90625" style="1" customWidth="1"/>
    <col min="13" max="16384" width="9" style="1"/>
  </cols>
  <sheetData>
    <row r="1" spans="2:12" ht="20" thickBot="1" x14ac:dyDescent="0.45">
      <c r="B1" s="89" t="s">
        <v>28</v>
      </c>
      <c r="C1" s="90"/>
      <c r="D1" s="90"/>
      <c r="E1" s="90"/>
      <c r="F1" s="90"/>
      <c r="G1" s="90"/>
      <c r="H1" s="90"/>
      <c r="I1" s="90"/>
      <c r="J1" s="90"/>
      <c r="K1" s="90"/>
      <c r="L1" s="91"/>
    </row>
    <row r="2" spans="2:12" ht="39.5" thickBot="1" x14ac:dyDescent="0.45">
      <c r="B2" s="5"/>
      <c r="C2" s="31" t="s">
        <v>21</v>
      </c>
      <c r="D2" s="31" t="s">
        <v>22</v>
      </c>
      <c r="E2" s="31" t="s">
        <v>23</v>
      </c>
      <c r="F2" s="31" t="s">
        <v>24</v>
      </c>
      <c r="G2" s="31" t="s">
        <v>25</v>
      </c>
      <c r="H2" s="31" t="s">
        <v>26</v>
      </c>
      <c r="I2" s="31" t="s">
        <v>27</v>
      </c>
      <c r="J2" s="6" t="s">
        <v>19</v>
      </c>
      <c r="K2" s="6" t="s">
        <v>12</v>
      </c>
      <c r="L2" s="7" t="s">
        <v>20</v>
      </c>
    </row>
    <row r="3" spans="2:12" ht="20" thickBot="1" x14ac:dyDescent="0.45">
      <c r="B3" s="8" t="s">
        <v>4</v>
      </c>
      <c r="C3" s="9" t="s">
        <v>16</v>
      </c>
      <c r="D3" s="9" t="s">
        <v>16</v>
      </c>
      <c r="E3" s="9" t="s">
        <v>16</v>
      </c>
      <c r="F3" s="9" t="s">
        <v>17</v>
      </c>
      <c r="G3" s="9" t="s">
        <v>17</v>
      </c>
      <c r="H3" s="9" t="s">
        <v>18</v>
      </c>
      <c r="I3" s="9" t="s">
        <v>18</v>
      </c>
      <c r="J3" s="9" t="s">
        <v>16</v>
      </c>
      <c r="K3" s="9" t="s">
        <v>16</v>
      </c>
      <c r="L3" s="4" t="s">
        <v>17</v>
      </c>
    </row>
    <row r="4" spans="2:12" ht="19.5" x14ac:dyDescent="0.4">
      <c r="B4" s="10" t="s">
        <v>0</v>
      </c>
      <c r="C4" s="11">
        <v>1</v>
      </c>
      <c r="D4" s="12"/>
      <c r="E4" s="11">
        <v>1</v>
      </c>
      <c r="F4" s="11">
        <v>3</v>
      </c>
      <c r="G4" s="11">
        <v>6</v>
      </c>
      <c r="H4" s="11">
        <v>10</v>
      </c>
      <c r="I4" s="11">
        <v>20</v>
      </c>
      <c r="J4" s="13">
        <v>3</v>
      </c>
      <c r="K4" s="13">
        <v>3</v>
      </c>
      <c r="L4" s="14">
        <v>2</v>
      </c>
    </row>
    <row r="5" spans="2:12" ht="19.5" x14ac:dyDescent="0.4">
      <c r="B5" s="15" t="s">
        <v>1</v>
      </c>
      <c r="C5" s="16"/>
      <c r="D5" s="16"/>
      <c r="E5" s="17">
        <v>2</v>
      </c>
      <c r="F5" s="16">
        <v>5</v>
      </c>
      <c r="G5" s="16">
        <v>9</v>
      </c>
      <c r="H5" s="16">
        <v>14</v>
      </c>
      <c r="I5" s="16">
        <v>28</v>
      </c>
      <c r="J5" s="18">
        <v>2</v>
      </c>
      <c r="K5" s="18">
        <v>4</v>
      </c>
      <c r="L5" s="19">
        <v>2</v>
      </c>
    </row>
    <row r="6" spans="2:12" ht="19.5" x14ac:dyDescent="0.4">
      <c r="B6" s="20" t="s">
        <v>5</v>
      </c>
      <c r="C6" s="17">
        <v>1</v>
      </c>
      <c r="D6" s="17">
        <v>2</v>
      </c>
      <c r="E6" s="17">
        <v>1</v>
      </c>
      <c r="F6" s="17">
        <v>1</v>
      </c>
      <c r="G6" s="17">
        <v>2</v>
      </c>
      <c r="H6" s="17">
        <v>2</v>
      </c>
      <c r="I6" s="17">
        <v>3</v>
      </c>
      <c r="J6" s="21">
        <v>1</v>
      </c>
      <c r="K6" s="21">
        <v>1</v>
      </c>
      <c r="L6" s="22">
        <v>1</v>
      </c>
    </row>
    <row r="7" spans="2:12" ht="19.5" x14ac:dyDescent="0.4">
      <c r="B7" s="20" t="s">
        <v>6</v>
      </c>
      <c r="C7" s="17"/>
      <c r="D7" s="17"/>
      <c r="E7" s="17"/>
      <c r="F7" s="17">
        <v>1</v>
      </c>
      <c r="G7" s="17">
        <v>1</v>
      </c>
      <c r="H7" s="17">
        <v>2</v>
      </c>
      <c r="I7" s="17">
        <v>3</v>
      </c>
      <c r="J7" s="21">
        <v>1</v>
      </c>
      <c r="K7" s="21"/>
      <c r="L7" s="22"/>
    </row>
    <row r="8" spans="2:12" ht="19.5" x14ac:dyDescent="0.4">
      <c r="B8" s="20" t="s">
        <v>7</v>
      </c>
      <c r="C8" s="17"/>
      <c r="D8" s="17"/>
      <c r="E8" s="17"/>
      <c r="F8" s="17"/>
      <c r="G8" s="17">
        <v>1</v>
      </c>
      <c r="H8" s="17">
        <v>3</v>
      </c>
      <c r="I8" s="17">
        <v>10</v>
      </c>
      <c r="J8" s="21"/>
      <c r="K8" s="21"/>
      <c r="L8" s="22"/>
    </row>
    <row r="9" spans="2:12" ht="19.5" x14ac:dyDescent="0.4">
      <c r="B9" s="20" t="s">
        <v>8</v>
      </c>
      <c r="C9" s="17"/>
      <c r="D9" s="17"/>
      <c r="E9" s="21"/>
      <c r="F9" s="21"/>
      <c r="G9" s="21">
        <v>1</v>
      </c>
      <c r="H9" s="21">
        <v>1</v>
      </c>
      <c r="I9" s="21">
        <v>1</v>
      </c>
      <c r="J9" s="21">
        <v>1</v>
      </c>
      <c r="K9" s="21">
        <v>1</v>
      </c>
      <c r="L9" s="22">
        <v>1</v>
      </c>
    </row>
    <row r="10" spans="2:12" ht="19.5" x14ac:dyDescent="0.4">
      <c r="B10" s="20" t="s">
        <v>9</v>
      </c>
      <c r="C10" s="17"/>
      <c r="D10" s="17"/>
      <c r="E10" s="21"/>
      <c r="F10" s="21"/>
      <c r="G10" s="21"/>
      <c r="H10" s="21">
        <v>1</v>
      </c>
      <c r="I10" s="21">
        <v>2</v>
      </c>
      <c r="J10" s="21"/>
      <c r="K10" s="21"/>
      <c r="L10" s="22"/>
    </row>
    <row r="11" spans="2:12" ht="19.5" x14ac:dyDescent="0.4">
      <c r="B11" s="20" t="s">
        <v>10</v>
      </c>
      <c r="C11" s="17"/>
      <c r="D11" s="17"/>
      <c r="E11" s="21"/>
      <c r="F11" s="21"/>
      <c r="G11" s="21"/>
      <c r="H11" s="21">
        <v>1</v>
      </c>
      <c r="I11" s="21">
        <v>1</v>
      </c>
      <c r="J11" s="21"/>
      <c r="K11" s="21"/>
      <c r="L11" s="22"/>
    </row>
    <row r="12" spans="2:12" ht="19.5" x14ac:dyDescent="0.4">
      <c r="B12" s="23" t="s">
        <v>11</v>
      </c>
      <c r="C12" s="24"/>
      <c r="D12" s="24"/>
      <c r="E12" s="24"/>
      <c r="F12" s="24"/>
      <c r="G12" s="24"/>
      <c r="H12" s="24"/>
      <c r="I12" s="24"/>
      <c r="J12" s="24">
        <v>1</v>
      </c>
      <c r="K12" s="24"/>
      <c r="L12" s="25"/>
    </row>
    <row r="13" spans="2:12" ht="19.5" x14ac:dyDescent="0.4">
      <c r="B13" s="26" t="s">
        <v>2</v>
      </c>
      <c r="C13" s="27"/>
      <c r="D13" s="27"/>
      <c r="E13" s="24"/>
      <c r="F13" s="24"/>
      <c r="G13" s="24"/>
      <c r="H13" s="24"/>
      <c r="I13" s="24"/>
      <c r="J13" s="24">
        <v>1</v>
      </c>
      <c r="K13" s="24"/>
      <c r="L13" s="25"/>
    </row>
    <row r="14" spans="2:12" ht="19.5" x14ac:dyDescent="0.4">
      <c r="B14" s="20" t="s">
        <v>3</v>
      </c>
      <c r="C14" s="17"/>
      <c r="D14" s="17"/>
      <c r="E14" s="21"/>
      <c r="F14" s="21"/>
      <c r="G14" s="21"/>
      <c r="H14" s="21"/>
      <c r="I14" s="21"/>
      <c r="J14" s="21"/>
      <c r="K14" s="21"/>
      <c r="L14" s="22">
        <v>2</v>
      </c>
    </row>
    <row r="15" spans="2:12" ht="20" thickBot="1" x14ac:dyDescent="0.45">
      <c r="B15" s="28" t="s">
        <v>13</v>
      </c>
      <c r="C15" s="29">
        <f t="shared" ref="C15:L15" si="0">SUM(C5:C14)</f>
        <v>1</v>
      </c>
      <c r="D15" s="29">
        <f t="shared" si="0"/>
        <v>2</v>
      </c>
      <c r="E15" s="29">
        <f t="shared" si="0"/>
        <v>3</v>
      </c>
      <c r="F15" s="29">
        <f t="shared" si="0"/>
        <v>7</v>
      </c>
      <c r="G15" s="29">
        <f t="shared" si="0"/>
        <v>14</v>
      </c>
      <c r="H15" s="29">
        <f t="shared" si="0"/>
        <v>24</v>
      </c>
      <c r="I15" s="29">
        <f t="shared" si="0"/>
        <v>48</v>
      </c>
      <c r="J15" s="29">
        <f t="shared" si="0"/>
        <v>7</v>
      </c>
      <c r="K15" s="29">
        <f t="shared" si="0"/>
        <v>6</v>
      </c>
      <c r="L15" s="30">
        <f t="shared" si="0"/>
        <v>6</v>
      </c>
    </row>
    <row r="16" spans="2:12" ht="20" thickBot="1" x14ac:dyDescent="0.45">
      <c r="B16" s="92" t="s">
        <v>15</v>
      </c>
      <c r="C16" s="93"/>
      <c r="D16" s="93"/>
      <c r="E16" s="93"/>
      <c r="F16" s="93"/>
      <c r="G16" s="93"/>
      <c r="H16" s="93"/>
      <c r="I16" s="93"/>
      <c r="J16" s="93"/>
      <c r="K16" s="93"/>
      <c r="L16" s="94"/>
    </row>
    <row r="17" spans="2:12" ht="20" thickBot="1" x14ac:dyDescent="0.45">
      <c r="B17" s="2" t="s">
        <v>14</v>
      </c>
      <c r="C17" s="3"/>
      <c r="D17" s="3"/>
      <c r="E17" s="3">
        <f t="shared" ref="E17:L17" si="1">SUM(E15/E4)</f>
        <v>3</v>
      </c>
      <c r="F17" s="32">
        <f t="shared" si="1"/>
        <v>2.3333333333333335</v>
      </c>
      <c r="G17" s="32">
        <f t="shared" si="1"/>
        <v>2.3333333333333335</v>
      </c>
      <c r="H17" s="32">
        <f t="shared" si="1"/>
        <v>2.4</v>
      </c>
      <c r="I17" s="32">
        <f t="shared" si="1"/>
        <v>2.4</v>
      </c>
      <c r="J17" s="32">
        <f t="shared" si="1"/>
        <v>2.3333333333333335</v>
      </c>
      <c r="K17" s="32">
        <f t="shared" si="1"/>
        <v>2</v>
      </c>
      <c r="L17" s="32">
        <f t="shared" si="1"/>
        <v>3</v>
      </c>
    </row>
  </sheetData>
  <mergeCells count="2">
    <mergeCell ref="B1:L1"/>
    <mergeCell ref="B16:L16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7BE7D-953E-440A-B5DE-B2DD3B9B42AF}">
  <dimension ref="A1:M71"/>
  <sheetViews>
    <sheetView workbookViewId="0">
      <selection activeCell="C12" sqref="C12:G12"/>
    </sheetView>
  </sheetViews>
  <sheetFormatPr defaultColWidth="9" defaultRowHeight="17" x14ac:dyDescent="0.4"/>
  <cols>
    <col min="1" max="2" width="3.453125" style="39" bestFit="1" customWidth="1"/>
    <col min="3" max="3" width="31.6328125" style="39" bestFit="1" customWidth="1"/>
    <col min="4" max="6" width="7.453125" style="60" bestFit="1" customWidth="1"/>
    <col min="7" max="7" width="5.453125" style="60" bestFit="1" customWidth="1"/>
    <col min="8" max="8" width="7.453125" style="60" bestFit="1" customWidth="1"/>
    <col min="9" max="9" width="9.08984375" style="60" bestFit="1" customWidth="1"/>
    <col min="10" max="10" width="7.453125" style="60" bestFit="1" customWidth="1"/>
    <col min="11" max="11" width="5.453125" style="60" bestFit="1" customWidth="1"/>
    <col min="12" max="12" width="7.453125" style="60" bestFit="1" customWidth="1"/>
    <col min="13" max="13" width="5.453125" style="60" bestFit="1" customWidth="1"/>
    <col min="14" max="16384" width="9" style="39"/>
  </cols>
  <sheetData>
    <row r="1" spans="1:13" ht="34" x14ac:dyDescent="0.4">
      <c r="A1" s="33" t="s">
        <v>29</v>
      </c>
      <c r="B1" s="34" t="s">
        <v>30</v>
      </c>
      <c r="C1" s="35" t="s">
        <v>31</v>
      </c>
      <c r="D1" s="36" t="s">
        <v>32</v>
      </c>
      <c r="E1" s="36" t="s">
        <v>33</v>
      </c>
      <c r="F1" s="37" t="s">
        <v>34</v>
      </c>
      <c r="G1" s="36" t="s">
        <v>35</v>
      </c>
      <c r="H1" s="36" t="s">
        <v>36</v>
      </c>
      <c r="I1" s="36" t="s">
        <v>37</v>
      </c>
      <c r="J1" s="36" t="s">
        <v>38</v>
      </c>
      <c r="K1" s="36" t="s">
        <v>39</v>
      </c>
      <c r="L1" s="36" t="s">
        <v>40</v>
      </c>
      <c r="M1" s="38" t="s">
        <v>41</v>
      </c>
    </row>
    <row r="2" spans="1:13" x14ac:dyDescent="0.4">
      <c r="A2" s="33" t="s">
        <v>42</v>
      </c>
      <c r="B2" s="40">
        <v>1</v>
      </c>
      <c r="C2" s="41" t="s">
        <v>43</v>
      </c>
      <c r="D2" s="41">
        <v>5</v>
      </c>
      <c r="E2" s="41">
        <v>5</v>
      </c>
      <c r="F2" s="42">
        <v>2</v>
      </c>
      <c r="G2" s="43">
        <v>2</v>
      </c>
      <c r="H2" s="41">
        <v>0</v>
      </c>
      <c r="I2" s="41">
        <v>0</v>
      </c>
      <c r="J2" s="41">
        <v>0</v>
      </c>
      <c r="K2" s="41">
        <v>0</v>
      </c>
      <c r="L2" s="41">
        <v>0</v>
      </c>
      <c r="M2" s="44">
        <v>0</v>
      </c>
    </row>
    <row r="3" spans="1:13" x14ac:dyDescent="0.4">
      <c r="A3" s="33" t="s">
        <v>42</v>
      </c>
      <c r="B3" s="45">
        <v>2</v>
      </c>
      <c r="C3" s="46" t="s">
        <v>44</v>
      </c>
      <c r="D3" s="46">
        <v>2</v>
      </c>
      <c r="E3" s="46">
        <v>2</v>
      </c>
      <c r="F3" s="47">
        <v>0</v>
      </c>
      <c r="G3" s="46">
        <v>1</v>
      </c>
      <c r="H3" s="46">
        <v>0</v>
      </c>
      <c r="I3" s="46">
        <v>0</v>
      </c>
      <c r="J3" s="46">
        <v>0</v>
      </c>
      <c r="K3" s="46">
        <v>0</v>
      </c>
      <c r="L3" s="46">
        <v>0</v>
      </c>
      <c r="M3" s="48">
        <v>0</v>
      </c>
    </row>
    <row r="4" spans="1:13" x14ac:dyDescent="0.4">
      <c r="A4" s="33" t="s">
        <v>42</v>
      </c>
      <c r="B4" s="40">
        <v>3</v>
      </c>
      <c r="C4" s="41" t="s">
        <v>45</v>
      </c>
      <c r="D4" s="41">
        <v>5</v>
      </c>
      <c r="E4" s="41">
        <v>5</v>
      </c>
      <c r="F4" s="42">
        <v>1</v>
      </c>
      <c r="G4" s="43">
        <v>2</v>
      </c>
      <c r="H4" s="41">
        <v>0</v>
      </c>
      <c r="I4" s="41">
        <v>0</v>
      </c>
      <c r="J4" s="41">
        <v>0</v>
      </c>
      <c r="K4" s="41">
        <v>0</v>
      </c>
      <c r="L4" s="41">
        <v>0</v>
      </c>
      <c r="M4" s="44">
        <v>0</v>
      </c>
    </row>
    <row r="5" spans="1:13" x14ac:dyDescent="0.4">
      <c r="A5" s="33" t="s">
        <v>42</v>
      </c>
      <c r="B5" s="49">
        <v>4</v>
      </c>
      <c r="C5" s="33" t="s">
        <v>46</v>
      </c>
      <c r="D5" s="33">
        <v>3</v>
      </c>
      <c r="E5" s="33">
        <v>3</v>
      </c>
      <c r="F5" s="50">
        <v>1</v>
      </c>
      <c r="G5" s="51">
        <v>2</v>
      </c>
      <c r="H5" s="33">
        <v>0</v>
      </c>
      <c r="I5" s="33">
        <v>0</v>
      </c>
      <c r="J5" s="33">
        <v>0</v>
      </c>
      <c r="K5" s="33">
        <v>0</v>
      </c>
      <c r="L5" s="33">
        <v>0</v>
      </c>
      <c r="M5" s="52">
        <v>0</v>
      </c>
    </row>
    <row r="6" spans="1:13" x14ac:dyDescent="0.4">
      <c r="A6" s="33" t="s">
        <v>42</v>
      </c>
      <c r="B6" s="49">
        <v>5</v>
      </c>
      <c r="C6" s="33" t="s">
        <v>47</v>
      </c>
      <c r="D6" s="33">
        <v>3</v>
      </c>
      <c r="E6" s="33">
        <v>3</v>
      </c>
      <c r="F6" s="50">
        <v>1</v>
      </c>
      <c r="G6" s="51">
        <v>2</v>
      </c>
      <c r="H6" s="33">
        <v>0</v>
      </c>
      <c r="I6" s="33">
        <v>0</v>
      </c>
      <c r="J6" s="51">
        <v>1</v>
      </c>
      <c r="K6" s="33">
        <v>0</v>
      </c>
      <c r="L6" s="33">
        <v>0</v>
      </c>
      <c r="M6" s="52">
        <v>0</v>
      </c>
    </row>
    <row r="7" spans="1:13" x14ac:dyDescent="0.4">
      <c r="A7" s="33" t="s">
        <v>42</v>
      </c>
      <c r="B7" s="45">
        <v>6</v>
      </c>
      <c r="C7" s="46" t="s">
        <v>48</v>
      </c>
      <c r="D7" s="46">
        <v>2</v>
      </c>
      <c r="E7" s="46">
        <v>2</v>
      </c>
      <c r="F7" s="47">
        <v>0</v>
      </c>
      <c r="G7" s="46">
        <v>1</v>
      </c>
      <c r="H7" s="46">
        <v>0</v>
      </c>
      <c r="I7" s="46">
        <v>0</v>
      </c>
      <c r="J7" s="46">
        <v>0</v>
      </c>
      <c r="K7" s="46">
        <v>0</v>
      </c>
      <c r="L7" s="46">
        <v>0</v>
      </c>
      <c r="M7" s="48">
        <v>0</v>
      </c>
    </row>
    <row r="8" spans="1:13" x14ac:dyDescent="0.4">
      <c r="A8" s="33" t="s">
        <v>42</v>
      </c>
      <c r="B8" s="40">
        <v>7</v>
      </c>
      <c r="C8" s="41" t="s">
        <v>49</v>
      </c>
      <c r="D8" s="41">
        <v>6</v>
      </c>
      <c r="E8" s="41">
        <v>6</v>
      </c>
      <c r="F8" s="42">
        <v>1</v>
      </c>
      <c r="G8" s="43">
        <v>3</v>
      </c>
      <c r="H8" s="41">
        <v>0</v>
      </c>
      <c r="I8" s="41">
        <v>0</v>
      </c>
      <c r="J8" s="41">
        <v>0</v>
      </c>
      <c r="K8" s="41">
        <v>0</v>
      </c>
      <c r="L8" s="41">
        <v>0</v>
      </c>
      <c r="M8" s="44">
        <v>0</v>
      </c>
    </row>
    <row r="9" spans="1:13" x14ac:dyDescent="0.4">
      <c r="A9" s="33" t="s">
        <v>42</v>
      </c>
      <c r="B9" s="45">
        <v>8</v>
      </c>
      <c r="C9" s="46" t="s">
        <v>50</v>
      </c>
      <c r="D9" s="46">
        <v>2</v>
      </c>
      <c r="E9" s="46">
        <v>2</v>
      </c>
      <c r="F9" s="47">
        <v>0</v>
      </c>
      <c r="G9" s="46">
        <v>1</v>
      </c>
      <c r="H9" s="46">
        <v>0</v>
      </c>
      <c r="I9" s="46">
        <v>0</v>
      </c>
      <c r="J9" s="46">
        <v>0</v>
      </c>
      <c r="K9" s="46">
        <v>0</v>
      </c>
      <c r="L9" s="46">
        <v>0</v>
      </c>
      <c r="M9" s="48">
        <v>0</v>
      </c>
    </row>
    <row r="10" spans="1:13" x14ac:dyDescent="0.4">
      <c r="A10" s="33" t="s">
        <v>42</v>
      </c>
      <c r="B10" s="40">
        <v>9</v>
      </c>
      <c r="C10" s="41" t="s">
        <v>51</v>
      </c>
      <c r="D10" s="41">
        <v>5</v>
      </c>
      <c r="E10" s="41">
        <v>5</v>
      </c>
      <c r="F10" s="42">
        <v>1</v>
      </c>
      <c r="G10" s="43">
        <v>2</v>
      </c>
      <c r="H10" s="41">
        <v>0</v>
      </c>
      <c r="I10" s="41">
        <v>0</v>
      </c>
      <c r="J10" s="41">
        <v>0</v>
      </c>
      <c r="K10" s="41">
        <v>0</v>
      </c>
      <c r="L10" s="41">
        <v>0</v>
      </c>
      <c r="M10" s="44">
        <v>0</v>
      </c>
    </row>
    <row r="11" spans="1:13" x14ac:dyDescent="0.4">
      <c r="A11" s="33" t="s">
        <v>42</v>
      </c>
      <c r="B11" s="45">
        <v>10</v>
      </c>
      <c r="C11" s="46" t="s">
        <v>52</v>
      </c>
      <c r="D11" s="46">
        <v>2</v>
      </c>
      <c r="E11" s="46">
        <v>2</v>
      </c>
      <c r="F11" s="47">
        <v>0</v>
      </c>
      <c r="G11" s="46">
        <v>1</v>
      </c>
      <c r="H11" s="46">
        <v>0</v>
      </c>
      <c r="I11" s="46">
        <v>0</v>
      </c>
      <c r="J11" s="46">
        <v>0</v>
      </c>
      <c r="K11" s="46">
        <v>0</v>
      </c>
      <c r="L11" s="46">
        <v>0</v>
      </c>
      <c r="M11" s="48">
        <v>0</v>
      </c>
    </row>
    <row r="12" spans="1:13" x14ac:dyDescent="0.4">
      <c r="A12" s="33" t="s">
        <v>42</v>
      </c>
      <c r="B12" s="40">
        <v>11</v>
      </c>
      <c r="C12" s="41" t="s">
        <v>53</v>
      </c>
      <c r="D12" s="41">
        <v>6</v>
      </c>
      <c r="E12" s="41">
        <v>6</v>
      </c>
      <c r="F12" s="42">
        <v>3</v>
      </c>
      <c r="G12" s="43">
        <v>2</v>
      </c>
      <c r="H12" s="41">
        <v>0</v>
      </c>
      <c r="I12" s="41">
        <v>0</v>
      </c>
      <c r="J12" s="41">
        <v>0</v>
      </c>
      <c r="K12" s="41">
        <v>0</v>
      </c>
      <c r="L12" s="41">
        <v>0</v>
      </c>
      <c r="M12" s="44">
        <v>0</v>
      </c>
    </row>
    <row r="13" spans="1:13" x14ac:dyDescent="0.4">
      <c r="A13" s="33" t="s">
        <v>42</v>
      </c>
      <c r="B13" s="45">
        <v>12</v>
      </c>
      <c r="C13" s="46" t="s">
        <v>54</v>
      </c>
      <c r="D13" s="46">
        <v>2</v>
      </c>
      <c r="E13" s="46">
        <v>2</v>
      </c>
      <c r="F13" s="47">
        <v>0</v>
      </c>
      <c r="G13" s="46">
        <v>1</v>
      </c>
      <c r="H13" s="46">
        <v>0</v>
      </c>
      <c r="I13" s="46">
        <v>0</v>
      </c>
      <c r="J13" s="46">
        <v>0</v>
      </c>
      <c r="K13" s="46">
        <v>0</v>
      </c>
      <c r="L13" s="46">
        <v>0</v>
      </c>
      <c r="M13" s="48">
        <v>0</v>
      </c>
    </row>
    <row r="14" spans="1:13" x14ac:dyDescent="0.4">
      <c r="A14" s="33" t="s">
        <v>55</v>
      </c>
      <c r="B14" s="40">
        <v>13</v>
      </c>
      <c r="C14" s="41" t="s">
        <v>56</v>
      </c>
      <c r="D14" s="41">
        <v>3</v>
      </c>
      <c r="E14" s="41">
        <v>3</v>
      </c>
      <c r="F14" s="42">
        <v>3</v>
      </c>
      <c r="G14" s="41">
        <v>1</v>
      </c>
      <c r="H14" s="41">
        <v>0</v>
      </c>
      <c r="I14" s="41">
        <v>0</v>
      </c>
      <c r="J14" s="41">
        <v>0</v>
      </c>
      <c r="K14" s="41">
        <v>0</v>
      </c>
      <c r="L14" s="41">
        <v>0</v>
      </c>
      <c r="M14" s="44">
        <v>0</v>
      </c>
    </row>
    <row r="15" spans="1:13" x14ac:dyDescent="0.4">
      <c r="A15" s="33" t="s">
        <v>55</v>
      </c>
      <c r="B15" s="49">
        <v>14</v>
      </c>
      <c r="C15" s="33" t="s">
        <v>57</v>
      </c>
      <c r="D15" s="33">
        <v>3</v>
      </c>
      <c r="E15" s="33">
        <v>3</v>
      </c>
      <c r="F15" s="50">
        <v>3</v>
      </c>
      <c r="G15" s="33">
        <v>1</v>
      </c>
      <c r="H15" s="33">
        <v>0</v>
      </c>
      <c r="I15" s="33">
        <v>0</v>
      </c>
      <c r="J15" s="33">
        <v>0</v>
      </c>
      <c r="K15" s="33">
        <v>0</v>
      </c>
      <c r="L15" s="33">
        <v>0</v>
      </c>
      <c r="M15" s="52">
        <v>0</v>
      </c>
    </row>
    <row r="16" spans="1:13" x14ac:dyDescent="0.4">
      <c r="A16" s="33" t="s">
        <v>55</v>
      </c>
      <c r="B16" s="49">
        <v>15</v>
      </c>
      <c r="C16" s="33" t="s">
        <v>58</v>
      </c>
      <c r="D16" s="33">
        <v>3</v>
      </c>
      <c r="E16" s="33">
        <v>3</v>
      </c>
      <c r="F16" s="50">
        <v>3</v>
      </c>
      <c r="G16" s="51">
        <v>3</v>
      </c>
      <c r="H16" s="33">
        <v>0</v>
      </c>
      <c r="I16" s="33">
        <v>0</v>
      </c>
      <c r="J16" s="33">
        <v>0</v>
      </c>
      <c r="K16" s="33">
        <v>0</v>
      </c>
      <c r="L16" s="33">
        <v>0</v>
      </c>
      <c r="M16" s="52">
        <v>0</v>
      </c>
    </row>
    <row r="17" spans="1:13" x14ac:dyDescent="0.4">
      <c r="A17" s="33" t="s">
        <v>55</v>
      </c>
      <c r="B17" s="49">
        <v>16</v>
      </c>
      <c r="C17" s="33" t="s">
        <v>59</v>
      </c>
      <c r="D17" s="33">
        <v>3</v>
      </c>
      <c r="E17" s="33">
        <v>3</v>
      </c>
      <c r="F17" s="50">
        <v>3</v>
      </c>
      <c r="G17" s="51">
        <v>3</v>
      </c>
      <c r="H17" s="33">
        <v>0</v>
      </c>
      <c r="I17" s="33">
        <v>0</v>
      </c>
      <c r="J17" s="33">
        <v>0</v>
      </c>
      <c r="K17" s="51">
        <v>1</v>
      </c>
      <c r="L17" s="33">
        <v>0</v>
      </c>
      <c r="M17" s="52">
        <v>0</v>
      </c>
    </row>
    <row r="18" spans="1:13" x14ac:dyDescent="0.4">
      <c r="A18" s="33" t="s">
        <v>55</v>
      </c>
      <c r="B18" s="49">
        <v>17</v>
      </c>
      <c r="C18" s="33" t="s">
        <v>60</v>
      </c>
      <c r="D18" s="33">
        <v>2</v>
      </c>
      <c r="E18" s="33">
        <v>2</v>
      </c>
      <c r="F18" s="53">
        <v>2</v>
      </c>
      <c r="G18" s="33">
        <v>1</v>
      </c>
      <c r="H18" s="33">
        <v>0</v>
      </c>
      <c r="I18" s="33">
        <v>0</v>
      </c>
      <c r="J18" s="51">
        <v>1</v>
      </c>
      <c r="K18" s="33">
        <v>0</v>
      </c>
      <c r="L18" s="33">
        <v>0</v>
      </c>
      <c r="M18" s="52">
        <v>0</v>
      </c>
    </row>
    <row r="19" spans="1:13" x14ac:dyDescent="0.4">
      <c r="A19" s="33" t="s">
        <v>55</v>
      </c>
      <c r="B19" s="49">
        <v>18</v>
      </c>
      <c r="C19" s="54" t="s">
        <v>61</v>
      </c>
      <c r="D19" s="33">
        <v>3</v>
      </c>
      <c r="E19" s="33">
        <v>3</v>
      </c>
      <c r="F19" s="50">
        <v>3</v>
      </c>
      <c r="G19" s="33">
        <v>1</v>
      </c>
      <c r="H19" s="33">
        <v>0</v>
      </c>
      <c r="I19" s="33">
        <v>0</v>
      </c>
      <c r="J19" s="51">
        <v>1</v>
      </c>
      <c r="K19" s="51">
        <v>1</v>
      </c>
      <c r="L19" s="33">
        <v>0</v>
      </c>
      <c r="M19" s="52">
        <v>0</v>
      </c>
    </row>
    <row r="20" spans="1:13" x14ac:dyDescent="0.4">
      <c r="A20" s="33" t="s">
        <v>55</v>
      </c>
      <c r="B20" s="49">
        <v>19</v>
      </c>
      <c r="C20" s="33" t="s">
        <v>62</v>
      </c>
      <c r="D20" s="33">
        <v>0</v>
      </c>
      <c r="E20" s="33">
        <v>6</v>
      </c>
      <c r="F20" s="50">
        <v>3</v>
      </c>
      <c r="G20" s="33">
        <v>1</v>
      </c>
      <c r="H20" s="33">
        <v>0</v>
      </c>
      <c r="I20" s="33">
        <v>0</v>
      </c>
      <c r="J20" s="51">
        <v>3</v>
      </c>
      <c r="K20" s="51">
        <v>1</v>
      </c>
      <c r="L20" s="33">
        <v>0</v>
      </c>
      <c r="M20" s="52">
        <v>0</v>
      </c>
    </row>
    <row r="21" spans="1:13" x14ac:dyDescent="0.4">
      <c r="A21" s="33" t="s">
        <v>55</v>
      </c>
      <c r="B21" s="49">
        <v>20</v>
      </c>
      <c r="C21" s="33" t="s">
        <v>63</v>
      </c>
      <c r="D21" s="33">
        <v>3</v>
      </c>
      <c r="E21" s="33">
        <v>3</v>
      </c>
      <c r="F21" s="53">
        <v>0</v>
      </c>
      <c r="G21" s="33">
        <v>1</v>
      </c>
      <c r="H21" s="33">
        <v>0</v>
      </c>
      <c r="I21" s="33">
        <v>0</v>
      </c>
      <c r="J21" s="33">
        <v>0</v>
      </c>
      <c r="K21" s="33">
        <v>0</v>
      </c>
      <c r="L21" s="33">
        <v>0</v>
      </c>
      <c r="M21" s="52">
        <v>0</v>
      </c>
    </row>
    <row r="22" spans="1:13" x14ac:dyDescent="0.4">
      <c r="A22" s="33" t="s">
        <v>55</v>
      </c>
      <c r="B22" s="49">
        <v>21</v>
      </c>
      <c r="C22" s="33" t="s">
        <v>64</v>
      </c>
      <c r="D22" s="33">
        <v>3</v>
      </c>
      <c r="E22" s="33">
        <v>3</v>
      </c>
      <c r="F22" s="50">
        <v>3</v>
      </c>
      <c r="G22" s="33">
        <v>1</v>
      </c>
      <c r="H22" s="33">
        <v>0</v>
      </c>
      <c r="I22" s="33">
        <v>0</v>
      </c>
      <c r="J22" s="33">
        <v>0</v>
      </c>
      <c r="K22" s="51">
        <v>1</v>
      </c>
      <c r="L22" s="33">
        <v>0</v>
      </c>
      <c r="M22" s="55">
        <v>2</v>
      </c>
    </row>
    <row r="23" spans="1:13" x14ac:dyDescent="0.4">
      <c r="A23" s="33" t="s">
        <v>55</v>
      </c>
      <c r="B23" s="49">
        <v>22</v>
      </c>
      <c r="C23" s="33" t="s">
        <v>65</v>
      </c>
      <c r="D23" s="33">
        <v>3</v>
      </c>
      <c r="E23" s="33">
        <v>3</v>
      </c>
      <c r="F23" s="50">
        <v>3</v>
      </c>
      <c r="G23" s="33">
        <v>1</v>
      </c>
      <c r="H23" s="33">
        <v>0</v>
      </c>
      <c r="I23" s="33">
        <v>0</v>
      </c>
      <c r="J23" s="33">
        <v>0</v>
      </c>
      <c r="K23" s="51">
        <v>1</v>
      </c>
      <c r="L23" s="33">
        <v>0</v>
      </c>
      <c r="M23" s="52">
        <v>0</v>
      </c>
    </row>
    <row r="24" spans="1:13" x14ac:dyDescent="0.4">
      <c r="A24" s="33" t="s">
        <v>55</v>
      </c>
      <c r="B24" s="49">
        <v>23</v>
      </c>
      <c r="C24" s="33" t="s">
        <v>66</v>
      </c>
      <c r="D24" s="33">
        <v>3</v>
      </c>
      <c r="E24" s="33">
        <v>2</v>
      </c>
      <c r="F24" s="50">
        <v>1</v>
      </c>
      <c r="G24" s="51">
        <v>2</v>
      </c>
      <c r="H24" s="33">
        <v>0</v>
      </c>
      <c r="I24" s="33">
        <v>0</v>
      </c>
      <c r="J24" s="33">
        <v>0</v>
      </c>
      <c r="K24" s="33">
        <v>0</v>
      </c>
      <c r="L24" s="33">
        <v>0</v>
      </c>
      <c r="M24" s="52">
        <v>0</v>
      </c>
    </row>
    <row r="25" spans="1:13" x14ac:dyDescent="0.4">
      <c r="A25" s="33" t="s">
        <v>55</v>
      </c>
      <c r="B25" s="49">
        <v>24</v>
      </c>
      <c r="C25" s="33" t="s">
        <v>67</v>
      </c>
      <c r="D25" s="33">
        <v>3</v>
      </c>
      <c r="E25" s="33">
        <v>2</v>
      </c>
      <c r="F25" s="50">
        <v>1</v>
      </c>
      <c r="G25" s="33">
        <v>1</v>
      </c>
      <c r="H25" s="33">
        <v>0</v>
      </c>
      <c r="I25" s="33">
        <v>0</v>
      </c>
      <c r="J25" s="33">
        <v>0</v>
      </c>
      <c r="K25" s="33">
        <v>0</v>
      </c>
      <c r="L25" s="33">
        <v>0</v>
      </c>
      <c r="M25" s="52">
        <v>0</v>
      </c>
    </row>
    <row r="26" spans="1:13" x14ac:dyDescent="0.4">
      <c r="A26" s="33" t="s">
        <v>55</v>
      </c>
      <c r="B26" s="45">
        <v>25</v>
      </c>
      <c r="C26" s="46" t="s">
        <v>68</v>
      </c>
      <c r="D26" s="46">
        <v>2</v>
      </c>
      <c r="E26" s="46">
        <v>0</v>
      </c>
      <c r="F26" s="56">
        <v>2</v>
      </c>
      <c r="G26" s="46">
        <v>1</v>
      </c>
      <c r="H26" s="46">
        <v>0</v>
      </c>
      <c r="I26" s="46">
        <v>0</v>
      </c>
      <c r="J26" s="46">
        <v>0</v>
      </c>
      <c r="K26" s="46">
        <v>0</v>
      </c>
      <c r="L26" s="46">
        <v>0</v>
      </c>
      <c r="M26" s="48">
        <v>0</v>
      </c>
    </row>
    <row r="27" spans="1:13" x14ac:dyDescent="0.4">
      <c r="A27" s="33" t="s">
        <v>69</v>
      </c>
      <c r="B27" s="40">
        <v>29</v>
      </c>
      <c r="C27" s="41" t="s">
        <v>70</v>
      </c>
      <c r="D27" s="43">
        <v>2</v>
      </c>
      <c r="E27" s="41">
        <v>0</v>
      </c>
      <c r="F27" s="57">
        <v>0</v>
      </c>
      <c r="G27" s="41">
        <v>0</v>
      </c>
      <c r="H27" s="41">
        <v>0</v>
      </c>
      <c r="I27" s="41">
        <v>0</v>
      </c>
      <c r="J27" s="41">
        <v>0</v>
      </c>
      <c r="K27" s="41">
        <v>0</v>
      </c>
      <c r="L27" s="41">
        <v>0</v>
      </c>
      <c r="M27" s="44">
        <v>0</v>
      </c>
    </row>
    <row r="28" spans="1:13" x14ac:dyDescent="0.4">
      <c r="A28" s="33" t="s">
        <v>69</v>
      </c>
      <c r="B28" s="49">
        <v>30</v>
      </c>
      <c r="C28" s="33" t="s">
        <v>71</v>
      </c>
      <c r="D28" s="33">
        <v>0</v>
      </c>
      <c r="E28" s="33">
        <v>2</v>
      </c>
      <c r="F28" s="50">
        <v>2</v>
      </c>
      <c r="G28" s="33">
        <v>0</v>
      </c>
      <c r="H28" s="33">
        <v>0</v>
      </c>
      <c r="I28" s="33">
        <v>0</v>
      </c>
      <c r="J28" s="33">
        <v>0</v>
      </c>
      <c r="K28" s="33">
        <v>0</v>
      </c>
      <c r="L28" s="33">
        <v>0</v>
      </c>
      <c r="M28" s="52">
        <v>0</v>
      </c>
    </row>
    <row r="29" spans="1:13" x14ac:dyDescent="0.4">
      <c r="A29" s="33" t="s">
        <v>69</v>
      </c>
      <c r="B29" s="45">
        <v>31</v>
      </c>
      <c r="C29" s="46" t="s">
        <v>72</v>
      </c>
      <c r="D29" s="58">
        <v>2</v>
      </c>
      <c r="E29" s="46">
        <v>2</v>
      </c>
      <c r="F29" s="56">
        <v>2</v>
      </c>
      <c r="G29" s="46">
        <v>0</v>
      </c>
      <c r="H29" s="46">
        <v>0</v>
      </c>
      <c r="I29" s="46">
        <v>0</v>
      </c>
      <c r="J29" s="46">
        <v>0</v>
      </c>
      <c r="K29" s="46">
        <v>0</v>
      </c>
      <c r="L29" s="46">
        <v>0</v>
      </c>
      <c r="M29" s="48">
        <v>0</v>
      </c>
    </row>
    <row r="30" spans="1:13" x14ac:dyDescent="0.4">
      <c r="A30" s="33" t="s">
        <v>69</v>
      </c>
      <c r="B30" s="40">
        <v>32</v>
      </c>
      <c r="C30" s="41" t="s">
        <v>73</v>
      </c>
      <c r="D30" s="41">
        <v>0</v>
      </c>
      <c r="E30" s="41">
        <v>0</v>
      </c>
      <c r="F30" s="57">
        <v>0</v>
      </c>
      <c r="G30" s="41">
        <v>0</v>
      </c>
      <c r="H30" s="41">
        <v>0</v>
      </c>
      <c r="I30" s="41">
        <v>0</v>
      </c>
      <c r="J30" s="41">
        <v>0</v>
      </c>
      <c r="K30" s="41">
        <v>0</v>
      </c>
      <c r="L30" s="41">
        <v>0</v>
      </c>
      <c r="M30" s="44">
        <v>0</v>
      </c>
    </row>
    <row r="31" spans="1:13" x14ac:dyDescent="0.4">
      <c r="A31" s="33" t="s">
        <v>69</v>
      </c>
      <c r="B31" s="49">
        <v>33</v>
      </c>
      <c r="C31" s="33" t="s">
        <v>74</v>
      </c>
      <c r="D31" s="33">
        <v>0</v>
      </c>
      <c r="E31" s="33">
        <v>0</v>
      </c>
      <c r="F31" s="53">
        <v>0</v>
      </c>
      <c r="G31" s="33">
        <v>0</v>
      </c>
      <c r="H31" s="33">
        <v>0</v>
      </c>
      <c r="I31" s="33">
        <v>0</v>
      </c>
      <c r="J31" s="33">
        <v>0</v>
      </c>
      <c r="K31" s="51">
        <v>1</v>
      </c>
      <c r="L31" s="33">
        <v>0</v>
      </c>
      <c r="M31" s="52">
        <v>0</v>
      </c>
    </row>
    <row r="32" spans="1:13" x14ac:dyDescent="0.4">
      <c r="A32" s="33" t="s">
        <v>69</v>
      </c>
      <c r="B32" s="45">
        <v>34</v>
      </c>
      <c r="C32" s="46" t="s">
        <v>75</v>
      </c>
      <c r="D32" s="46">
        <v>1</v>
      </c>
      <c r="E32" s="46">
        <v>1</v>
      </c>
      <c r="F32" s="47">
        <v>0</v>
      </c>
      <c r="G32" s="58">
        <v>2</v>
      </c>
      <c r="H32" s="46">
        <v>0</v>
      </c>
      <c r="I32" s="46">
        <v>0</v>
      </c>
      <c r="J32" s="46">
        <v>0</v>
      </c>
      <c r="K32" s="58">
        <v>1</v>
      </c>
      <c r="L32" s="46">
        <v>0</v>
      </c>
      <c r="M32" s="48">
        <v>0</v>
      </c>
    </row>
    <row r="33" spans="1:13" x14ac:dyDescent="0.4">
      <c r="A33" s="33" t="s">
        <v>76</v>
      </c>
      <c r="B33" s="40">
        <v>35</v>
      </c>
      <c r="C33" s="41" t="s">
        <v>77</v>
      </c>
      <c r="D33" s="41">
        <v>0</v>
      </c>
      <c r="E33" s="41">
        <v>0</v>
      </c>
      <c r="F33" s="57">
        <v>0</v>
      </c>
      <c r="G33" s="41">
        <v>0</v>
      </c>
      <c r="H33" s="41">
        <v>0</v>
      </c>
      <c r="I33" s="41">
        <v>0</v>
      </c>
      <c r="J33" s="41">
        <v>0</v>
      </c>
      <c r="K33" s="41">
        <v>0</v>
      </c>
      <c r="L33" s="41">
        <v>0</v>
      </c>
      <c r="M33" s="44">
        <v>0</v>
      </c>
    </row>
    <row r="34" spans="1:13" x14ac:dyDescent="0.4">
      <c r="A34" s="33" t="s">
        <v>76</v>
      </c>
      <c r="B34" s="49">
        <v>36</v>
      </c>
      <c r="C34" s="33" t="s">
        <v>78</v>
      </c>
      <c r="D34" s="33">
        <v>0</v>
      </c>
      <c r="E34" s="33">
        <v>0</v>
      </c>
      <c r="F34" s="53">
        <v>0</v>
      </c>
      <c r="G34" s="33">
        <v>0</v>
      </c>
      <c r="H34" s="33">
        <v>0</v>
      </c>
      <c r="I34" s="33">
        <v>0</v>
      </c>
      <c r="J34" s="33">
        <v>0</v>
      </c>
      <c r="K34" s="33">
        <v>0</v>
      </c>
      <c r="L34" s="33">
        <v>0</v>
      </c>
      <c r="M34" s="52">
        <v>0</v>
      </c>
    </row>
    <row r="35" spans="1:13" x14ac:dyDescent="0.4">
      <c r="A35" s="33" t="s">
        <v>76</v>
      </c>
      <c r="B35" s="49">
        <v>37</v>
      </c>
      <c r="C35" s="33" t="s">
        <v>79</v>
      </c>
      <c r="D35" s="33">
        <v>0</v>
      </c>
      <c r="E35" s="33">
        <v>0</v>
      </c>
      <c r="F35" s="53">
        <v>0</v>
      </c>
      <c r="G35" s="33">
        <v>0</v>
      </c>
      <c r="H35" s="51">
        <v>1</v>
      </c>
      <c r="I35" s="33">
        <v>0</v>
      </c>
      <c r="J35" s="33">
        <v>0</v>
      </c>
      <c r="K35" s="33">
        <v>0</v>
      </c>
      <c r="L35" s="33">
        <v>0</v>
      </c>
      <c r="M35" s="52">
        <v>0</v>
      </c>
    </row>
    <row r="36" spans="1:13" x14ac:dyDescent="0.4">
      <c r="A36" s="33" t="s">
        <v>76</v>
      </c>
      <c r="B36" s="49">
        <v>38</v>
      </c>
      <c r="C36" s="33" t="s">
        <v>80</v>
      </c>
      <c r="D36" s="33">
        <v>0</v>
      </c>
      <c r="E36" s="33">
        <v>1</v>
      </c>
      <c r="F36" s="50">
        <v>1</v>
      </c>
      <c r="G36" s="33">
        <v>0</v>
      </c>
      <c r="H36" s="51">
        <v>1</v>
      </c>
      <c r="I36" s="33">
        <v>0</v>
      </c>
      <c r="J36" s="33">
        <v>0</v>
      </c>
      <c r="K36" s="51">
        <v>1</v>
      </c>
      <c r="L36" s="33">
        <v>0</v>
      </c>
      <c r="M36" s="52">
        <v>0</v>
      </c>
    </row>
    <row r="37" spans="1:13" x14ac:dyDescent="0.4">
      <c r="A37" s="33" t="s">
        <v>76</v>
      </c>
      <c r="B37" s="45">
        <v>39</v>
      </c>
      <c r="C37" s="46" t="s">
        <v>81</v>
      </c>
      <c r="D37" s="46">
        <v>0</v>
      </c>
      <c r="E37" s="46">
        <v>1</v>
      </c>
      <c r="F37" s="56">
        <v>1</v>
      </c>
      <c r="G37" s="46">
        <v>0</v>
      </c>
      <c r="H37" s="46">
        <v>0</v>
      </c>
      <c r="I37" s="58">
        <v>1</v>
      </c>
      <c r="J37" s="46">
        <v>0</v>
      </c>
      <c r="K37" s="46">
        <v>0</v>
      </c>
      <c r="L37" s="46">
        <v>0</v>
      </c>
      <c r="M37" s="48">
        <v>0</v>
      </c>
    </row>
    <row r="38" spans="1:13" x14ac:dyDescent="0.4">
      <c r="A38" s="33" t="s">
        <v>82</v>
      </c>
      <c r="B38" s="40">
        <v>40</v>
      </c>
      <c r="C38" s="41" t="s">
        <v>83</v>
      </c>
      <c r="D38" s="41">
        <v>0</v>
      </c>
      <c r="E38" s="41">
        <v>0</v>
      </c>
      <c r="F38" s="57">
        <v>0</v>
      </c>
      <c r="G38" s="41">
        <v>0</v>
      </c>
      <c r="H38" s="41">
        <v>0</v>
      </c>
      <c r="I38" s="41">
        <v>0</v>
      </c>
      <c r="J38" s="41">
        <v>0</v>
      </c>
      <c r="K38" s="41">
        <v>0</v>
      </c>
      <c r="L38" s="41">
        <v>0</v>
      </c>
      <c r="M38" s="44">
        <v>0</v>
      </c>
    </row>
    <row r="39" spans="1:13" x14ac:dyDescent="0.4">
      <c r="A39" s="33" t="s">
        <v>82</v>
      </c>
      <c r="B39" s="49">
        <v>41</v>
      </c>
      <c r="C39" s="33" t="s">
        <v>84</v>
      </c>
      <c r="D39" s="33">
        <v>0</v>
      </c>
      <c r="E39" s="33">
        <v>0</v>
      </c>
      <c r="F39" s="53">
        <v>0</v>
      </c>
      <c r="G39" s="33">
        <v>0</v>
      </c>
      <c r="H39" s="33">
        <v>0</v>
      </c>
      <c r="I39" s="33">
        <v>0</v>
      </c>
      <c r="J39" s="33">
        <v>0</v>
      </c>
      <c r="K39" s="51">
        <v>1</v>
      </c>
      <c r="L39" s="51">
        <v>1</v>
      </c>
      <c r="M39" s="55">
        <v>1</v>
      </c>
    </row>
    <row r="40" spans="1:13" x14ac:dyDescent="0.4">
      <c r="A40" s="33" t="s">
        <v>82</v>
      </c>
      <c r="B40" s="49">
        <v>42</v>
      </c>
      <c r="C40" s="33" t="s">
        <v>85</v>
      </c>
      <c r="D40" s="33">
        <v>0</v>
      </c>
      <c r="E40" s="33">
        <v>0</v>
      </c>
      <c r="F40" s="53">
        <v>0</v>
      </c>
      <c r="G40" s="33">
        <v>0</v>
      </c>
      <c r="H40" s="51">
        <v>1</v>
      </c>
      <c r="I40" s="33">
        <v>0</v>
      </c>
      <c r="J40" s="33">
        <v>0</v>
      </c>
      <c r="K40" s="33">
        <v>0</v>
      </c>
      <c r="L40" s="33">
        <v>0</v>
      </c>
      <c r="M40" s="52">
        <v>0</v>
      </c>
    </row>
    <row r="41" spans="1:13" x14ac:dyDescent="0.4">
      <c r="A41" s="33" t="s">
        <v>82</v>
      </c>
      <c r="B41" s="49">
        <v>43</v>
      </c>
      <c r="C41" s="33" t="s">
        <v>86</v>
      </c>
      <c r="D41" s="33">
        <v>0</v>
      </c>
      <c r="E41" s="33">
        <v>0</v>
      </c>
      <c r="F41" s="53">
        <v>0</v>
      </c>
      <c r="G41" s="33">
        <v>0</v>
      </c>
      <c r="H41" s="51">
        <v>1</v>
      </c>
      <c r="I41" s="33">
        <v>0</v>
      </c>
      <c r="J41" s="33">
        <v>0</v>
      </c>
      <c r="K41" s="33">
        <v>0</v>
      </c>
      <c r="L41" s="33">
        <v>0</v>
      </c>
      <c r="M41" s="52">
        <v>0</v>
      </c>
    </row>
    <row r="42" spans="1:13" x14ac:dyDescent="0.4">
      <c r="A42" s="33" t="s">
        <v>82</v>
      </c>
      <c r="B42" s="49">
        <v>44</v>
      </c>
      <c r="C42" s="33" t="s">
        <v>87</v>
      </c>
      <c r="D42" s="33">
        <v>0</v>
      </c>
      <c r="E42" s="33">
        <v>1</v>
      </c>
      <c r="F42" s="50">
        <v>1</v>
      </c>
      <c r="G42" s="33">
        <v>0</v>
      </c>
      <c r="H42" s="51">
        <v>1</v>
      </c>
      <c r="I42" s="33">
        <v>0</v>
      </c>
      <c r="J42" s="33">
        <v>0</v>
      </c>
      <c r="K42" s="51">
        <v>1</v>
      </c>
      <c r="L42" s="33">
        <v>0</v>
      </c>
      <c r="M42" s="52">
        <v>0</v>
      </c>
    </row>
    <row r="43" spans="1:13" x14ac:dyDescent="0.4">
      <c r="A43" s="33" t="s">
        <v>82</v>
      </c>
      <c r="B43" s="45">
        <v>45</v>
      </c>
      <c r="C43" s="46" t="s">
        <v>88</v>
      </c>
      <c r="D43" s="46">
        <v>0</v>
      </c>
      <c r="E43" s="46">
        <v>1</v>
      </c>
      <c r="F43" s="56">
        <v>1</v>
      </c>
      <c r="G43" s="46">
        <v>0</v>
      </c>
      <c r="H43" s="46">
        <v>0</v>
      </c>
      <c r="I43" s="58">
        <v>1</v>
      </c>
      <c r="J43" s="46">
        <v>0</v>
      </c>
      <c r="K43" s="46">
        <v>0</v>
      </c>
      <c r="L43" s="46">
        <v>0</v>
      </c>
      <c r="M43" s="48">
        <v>0</v>
      </c>
    </row>
    <row r="44" spans="1:13" x14ac:dyDescent="0.4">
      <c r="A44" s="33" t="s">
        <v>89</v>
      </c>
      <c r="B44" s="40">
        <v>46</v>
      </c>
      <c r="C44" s="41" t="s">
        <v>90</v>
      </c>
      <c r="D44" s="41">
        <v>0</v>
      </c>
      <c r="E44" s="41">
        <v>1</v>
      </c>
      <c r="F44" s="42">
        <v>1</v>
      </c>
      <c r="G44" s="41">
        <v>0</v>
      </c>
      <c r="H44" s="41">
        <v>0</v>
      </c>
      <c r="I44" s="41">
        <v>0</v>
      </c>
      <c r="J44" s="41">
        <v>0</v>
      </c>
      <c r="K44" s="41">
        <v>0</v>
      </c>
      <c r="L44" s="41">
        <v>0</v>
      </c>
      <c r="M44" s="44">
        <v>0</v>
      </c>
    </row>
    <row r="45" spans="1:13" x14ac:dyDescent="0.4">
      <c r="A45" s="33" t="s">
        <v>89</v>
      </c>
      <c r="B45" s="49">
        <v>47</v>
      </c>
      <c r="C45" s="33" t="s">
        <v>91</v>
      </c>
      <c r="D45" s="33">
        <v>0</v>
      </c>
      <c r="E45" s="33">
        <v>1</v>
      </c>
      <c r="F45" s="50">
        <v>1</v>
      </c>
      <c r="G45" s="33">
        <v>0</v>
      </c>
      <c r="H45" s="33">
        <v>0</v>
      </c>
      <c r="I45" s="33">
        <v>0</v>
      </c>
      <c r="J45" s="33">
        <v>0</v>
      </c>
      <c r="K45" s="33">
        <v>0</v>
      </c>
      <c r="L45" s="33">
        <v>0</v>
      </c>
      <c r="M45" s="52">
        <v>0</v>
      </c>
    </row>
    <row r="46" spans="1:13" x14ac:dyDescent="0.4">
      <c r="A46" s="33" t="s">
        <v>89</v>
      </c>
      <c r="B46" s="49">
        <v>48</v>
      </c>
      <c r="C46" s="33" t="s">
        <v>92</v>
      </c>
      <c r="D46" s="33">
        <v>0</v>
      </c>
      <c r="E46" s="33">
        <v>2</v>
      </c>
      <c r="F46" s="50">
        <v>2</v>
      </c>
      <c r="G46" s="33">
        <v>0</v>
      </c>
      <c r="H46" s="33">
        <v>0</v>
      </c>
      <c r="I46" s="33">
        <v>0</v>
      </c>
      <c r="J46" s="51">
        <v>1</v>
      </c>
      <c r="K46" s="51">
        <v>1</v>
      </c>
      <c r="L46" s="51">
        <v>1</v>
      </c>
      <c r="M46" s="52">
        <v>0</v>
      </c>
    </row>
    <row r="47" spans="1:13" x14ac:dyDescent="0.4">
      <c r="A47" s="33" t="s">
        <v>89</v>
      </c>
      <c r="B47" s="49">
        <v>49</v>
      </c>
      <c r="C47" s="33" t="s">
        <v>93</v>
      </c>
      <c r="D47" s="33">
        <v>0</v>
      </c>
      <c r="E47" s="33">
        <v>0</v>
      </c>
      <c r="F47" s="53">
        <v>0</v>
      </c>
      <c r="G47" s="33">
        <v>0</v>
      </c>
      <c r="H47" s="33">
        <v>0</v>
      </c>
      <c r="I47" s="33">
        <v>0</v>
      </c>
      <c r="J47" s="33">
        <v>0</v>
      </c>
      <c r="K47" s="33">
        <v>0</v>
      </c>
      <c r="L47" s="33">
        <v>0</v>
      </c>
      <c r="M47" s="52">
        <v>0</v>
      </c>
    </row>
    <row r="48" spans="1:13" x14ac:dyDescent="0.4">
      <c r="A48" s="33" t="s">
        <v>89</v>
      </c>
      <c r="B48" s="49">
        <v>50</v>
      </c>
      <c r="C48" s="33" t="s">
        <v>94</v>
      </c>
      <c r="D48" s="33">
        <v>0</v>
      </c>
      <c r="E48" s="33">
        <v>0</v>
      </c>
      <c r="F48" s="53">
        <v>0</v>
      </c>
      <c r="G48" s="33">
        <v>0</v>
      </c>
      <c r="H48" s="33">
        <v>0</v>
      </c>
      <c r="I48" s="33">
        <v>0</v>
      </c>
      <c r="J48" s="33">
        <v>0</v>
      </c>
      <c r="K48" s="33">
        <v>0</v>
      </c>
      <c r="L48" s="33">
        <v>0</v>
      </c>
      <c r="M48" s="52">
        <v>0</v>
      </c>
    </row>
    <row r="49" spans="1:13" x14ac:dyDescent="0.4">
      <c r="A49" s="33" t="s">
        <v>89</v>
      </c>
      <c r="B49" s="49">
        <v>51</v>
      </c>
      <c r="C49" s="33" t="s">
        <v>95</v>
      </c>
      <c r="D49" s="33">
        <v>0</v>
      </c>
      <c r="E49" s="33">
        <v>0</v>
      </c>
      <c r="F49" s="53">
        <v>0</v>
      </c>
      <c r="G49" s="33">
        <v>0</v>
      </c>
      <c r="H49" s="33">
        <v>0</v>
      </c>
      <c r="I49" s="33">
        <v>0</v>
      </c>
      <c r="J49" s="33">
        <v>0</v>
      </c>
      <c r="K49" s="33">
        <v>0</v>
      </c>
      <c r="L49" s="33">
        <v>0</v>
      </c>
      <c r="M49" s="52">
        <v>0</v>
      </c>
    </row>
    <row r="50" spans="1:13" x14ac:dyDescent="0.4">
      <c r="A50" s="33" t="s">
        <v>89</v>
      </c>
      <c r="B50" s="45">
        <v>52</v>
      </c>
      <c r="C50" s="46" t="s">
        <v>96</v>
      </c>
      <c r="D50" s="46">
        <v>0</v>
      </c>
      <c r="E50" s="46">
        <v>0</v>
      </c>
      <c r="F50" s="47">
        <v>0</v>
      </c>
      <c r="G50" s="46">
        <v>0</v>
      </c>
      <c r="H50" s="46">
        <v>0</v>
      </c>
      <c r="I50" s="46">
        <v>0</v>
      </c>
      <c r="J50" s="46">
        <v>0</v>
      </c>
      <c r="K50" s="46">
        <v>0</v>
      </c>
      <c r="L50" s="46">
        <v>0</v>
      </c>
      <c r="M50" s="48">
        <v>0</v>
      </c>
    </row>
    <row r="51" spans="1:13" x14ac:dyDescent="0.4">
      <c r="A51" s="33" t="s">
        <v>97</v>
      </c>
      <c r="B51" s="40">
        <v>53</v>
      </c>
      <c r="C51" s="41" t="s">
        <v>98</v>
      </c>
      <c r="D51" s="41">
        <v>0</v>
      </c>
      <c r="E51" s="41">
        <v>0</v>
      </c>
      <c r="F51" s="57">
        <v>0</v>
      </c>
      <c r="G51" s="41">
        <v>0</v>
      </c>
      <c r="H51" s="41">
        <v>0</v>
      </c>
      <c r="I51" s="41">
        <v>0</v>
      </c>
      <c r="J51" s="41">
        <v>0</v>
      </c>
      <c r="K51" s="41">
        <v>0</v>
      </c>
      <c r="L51" s="41">
        <v>0</v>
      </c>
      <c r="M51" s="44">
        <v>0</v>
      </c>
    </row>
    <row r="52" spans="1:13" x14ac:dyDescent="0.4">
      <c r="A52" s="33" t="s">
        <v>97</v>
      </c>
      <c r="B52" s="49">
        <v>54</v>
      </c>
      <c r="C52" s="33" t="s">
        <v>99</v>
      </c>
      <c r="D52" s="33">
        <v>0</v>
      </c>
      <c r="E52" s="33">
        <v>0</v>
      </c>
      <c r="F52" s="53">
        <v>0</v>
      </c>
      <c r="G52" s="33">
        <v>0</v>
      </c>
      <c r="H52" s="33">
        <v>0</v>
      </c>
      <c r="I52" s="33">
        <v>0</v>
      </c>
      <c r="J52" s="33">
        <v>0</v>
      </c>
      <c r="K52" s="33">
        <v>0</v>
      </c>
      <c r="L52" s="33">
        <v>0</v>
      </c>
      <c r="M52" s="52">
        <v>0</v>
      </c>
    </row>
    <row r="53" spans="1:13" x14ac:dyDescent="0.4">
      <c r="A53" s="33" t="s">
        <v>97</v>
      </c>
      <c r="B53" s="49">
        <v>55</v>
      </c>
      <c r="C53" s="33" t="s">
        <v>100</v>
      </c>
      <c r="D53" s="33">
        <v>0</v>
      </c>
      <c r="E53" s="33">
        <v>1</v>
      </c>
      <c r="F53" s="50">
        <v>1</v>
      </c>
      <c r="G53" s="33">
        <v>0</v>
      </c>
      <c r="H53" s="33">
        <v>0</v>
      </c>
      <c r="I53" s="33">
        <v>0</v>
      </c>
      <c r="J53" s="33">
        <v>0</v>
      </c>
      <c r="K53" s="33">
        <v>0</v>
      </c>
      <c r="L53" s="33">
        <v>0</v>
      </c>
      <c r="M53" s="52">
        <v>0</v>
      </c>
    </row>
    <row r="54" spans="1:13" x14ac:dyDescent="0.4">
      <c r="A54" s="33" t="s">
        <v>97</v>
      </c>
      <c r="B54" s="49">
        <v>56</v>
      </c>
      <c r="C54" s="33" t="s">
        <v>101</v>
      </c>
      <c r="D54" s="33">
        <v>0</v>
      </c>
      <c r="E54" s="33">
        <v>2</v>
      </c>
      <c r="F54" s="50">
        <v>2</v>
      </c>
      <c r="G54" s="33">
        <v>0</v>
      </c>
      <c r="H54" s="33">
        <v>0</v>
      </c>
      <c r="I54" s="33">
        <v>0</v>
      </c>
      <c r="J54" s="33">
        <v>0</v>
      </c>
      <c r="K54" s="33">
        <v>0</v>
      </c>
      <c r="L54" s="33">
        <v>0</v>
      </c>
      <c r="M54" s="52">
        <v>0</v>
      </c>
    </row>
    <row r="55" spans="1:13" x14ac:dyDescent="0.4">
      <c r="A55" s="33" t="s">
        <v>97</v>
      </c>
      <c r="B55" s="49">
        <v>57</v>
      </c>
      <c r="C55" s="33" t="s">
        <v>102</v>
      </c>
      <c r="D55" s="33">
        <v>0</v>
      </c>
      <c r="E55" s="33">
        <v>3</v>
      </c>
      <c r="F55" s="50">
        <v>3</v>
      </c>
      <c r="G55" s="33">
        <v>0</v>
      </c>
      <c r="H55" s="33">
        <v>0</v>
      </c>
      <c r="I55" s="33">
        <v>0</v>
      </c>
      <c r="J55" s="33">
        <v>0</v>
      </c>
      <c r="K55" s="33">
        <v>0</v>
      </c>
      <c r="L55" s="33">
        <v>0</v>
      </c>
      <c r="M55" s="52">
        <v>0</v>
      </c>
    </row>
    <row r="56" spans="1:13" x14ac:dyDescent="0.4">
      <c r="A56" s="33" t="s">
        <v>97</v>
      </c>
      <c r="B56" s="45">
        <v>58</v>
      </c>
      <c r="C56" s="46" t="s">
        <v>103</v>
      </c>
      <c r="D56" s="46">
        <v>0</v>
      </c>
      <c r="E56" s="46">
        <v>4</v>
      </c>
      <c r="F56" s="56">
        <v>4</v>
      </c>
      <c r="G56" s="46">
        <v>0</v>
      </c>
      <c r="H56" s="46">
        <v>0</v>
      </c>
      <c r="I56" s="46">
        <v>0</v>
      </c>
      <c r="J56" s="46">
        <v>0</v>
      </c>
      <c r="K56" s="46">
        <v>0</v>
      </c>
      <c r="L56" s="46">
        <v>0</v>
      </c>
      <c r="M56" s="48">
        <v>0</v>
      </c>
    </row>
    <row r="57" spans="1:13" x14ac:dyDescent="0.4">
      <c r="A57" s="33" t="s">
        <v>104</v>
      </c>
      <c r="B57" s="40">
        <v>59</v>
      </c>
      <c r="C57" s="41" t="s">
        <v>105</v>
      </c>
      <c r="D57" s="41">
        <v>0</v>
      </c>
      <c r="E57" s="41">
        <v>2</v>
      </c>
      <c r="F57" s="57">
        <v>0</v>
      </c>
      <c r="G57" s="41">
        <v>1</v>
      </c>
      <c r="H57" s="41">
        <v>0</v>
      </c>
      <c r="I57" s="41">
        <v>0</v>
      </c>
      <c r="J57" s="41">
        <v>0</v>
      </c>
      <c r="K57" s="41">
        <v>0</v>
      </c>
      <c r="L57" s="41">
        <v>0</v>
      </c>
      <c r="M57" s="44">
        <v>0</v>
      </c>
    </row>
    <row r="58" spans="1:13" x14ac:dyDescent="0.4">
      <c r="A58" s="33" t="s">
        <v>104</v>
      </c>
      <c r="B58" s="49">
        <v>60</v>
      </c>
      <c r="C58" s="33" t="s">
        <v>106</v>
      </c>
      <c r="D58" s="33">
        <v>0</v>
      </c>
      <c r="E58" s="33">
        <v>2</v>
      </c>
      <c r="F58" s="53">
        <v>0</v>
      </c>
      <c r="G58" s="33">
        <v>1</v>
      </c>
      <c r="H58" s="33">
        <v>0</v>
      </c>
      <c r="I58" s="33">
        <v>0</v>
      </c>
      <c r="J58" s="33">
        <v>0</v>
      </c>
      <c r="K58" s="33">
        <v>0</v>
      </c>
      <c r="L58" s="33">
        <v>0</v>
      </c>
      <c r="M58" s="52">
        <v>0</v>
      </c>
    </row>
    <row r="59" spans="1:13" x14ac:dyDescent="0.4">
      <c r="A59" s="33" t="s">
        <v>104</v>
      </c>
      <c r="B59" s="49">
        <v>61</v>
      </c>
      <c r="C59" s="33" t="s">
        <v>107</v>
      </c>
      <c r="D59" s="33">
        <v>0</v>
      </c>
      <c r="E59" s="33">
        <v>7</v>
      </c>
      <c r="F59" s="53">
        <v>0</v>
      </c>
      <c r="G59" s="51">
        <v>3</v>
      </c>
      <c r="H59" s="33">
        <v>0</v>
      </c>
      <c r="I59" s="33">
        <v>0</v>
      </c>
      <c r="J59" s="51">
        <v>1</v>
      </c>
      <c r="K59" s="51">
        <v>1</v>
      </c>
      <c r="L59" s="51">
        <v>1</v>
      </c>
      <c r="M59" s="55">
        <v>1</v>
      </c>
    </row>
    <row r="60" spans="1:13" x14ac:dyDescent="0.4">
      <c r="A60" s="33" t="s">
        <v>104</v>
      </c>
      <c r="B60" s="49">
        <v>62</v>
      </c>
      <c r="C60" s="33" t="s">
        <v>108</v>
      </c>
      <c r="D60" s="33">
        <v>0</v>
      </c>
      <c r="E60" s="33">
        <v>7</v>
      </c>
      <c r="F60" s="53">
        <v>0</v>
      </c>
      <c r="G60" s="51">
        <v>3</v>
      </c>
      <c r="H60" s="33">
        <v>0</v>
      </c>
      <c r="I60" s="33">
        <v>0</v>
      </c>
      <c r="J60" s="33">
        <v>0</v>
      </c>
      <c r="K60" s="51">
        <v>1</v>
      </c>
      <c r="L60" s="51">
        <v>1</v>
      </c>
      <c r="M60" s="55">
        <v>2</v>
      </c>
    </row>
    <row r="61" spans="1:13" x14ac:dyDescent="0.4">
      <c r="A61" s="33" t="s">
        <v>104</v>
      </c>
      <c r="B61" s="49">
        <v>63</v>
      </c>
      <c r="C61" s="33" t="s">
        <v>109</v>
      </c>
      <c r="D61" s="33">
        <v>0</v>
      </c>
      <c r="E61" s="33">
        <v>7</v>
      </c>
      <c r="F61" s="50">
        <v>2</v>
      </c>
      <c r="G61" s="51">
        <v>3</v>
      </c>
      <c r="H61" s="33">
        <v>0</v>
      </c>
      <c r="I61" s="33">
        <v>0</v>
      </c>
      <c r="J61" s="51">
        <v>2</v>
      </c>
      <c r="K61" s="33">
        <v>0</v>
      </c>
      <c r="L61" s="33">
        <v>0</v>
      </c>
      <c r="M61" s="52">
        <v>0</v>
      </c>
    </row>
    <row r="62" spans="1:13" x14ac:dyDescent="0.4">
      <c r="A62" s="33" t="s">
        <v>104</v>
      </c>
      <c r="B62" s="49">
        <v>64</v>
      </c>
      <c r="C62" s="33" t="s">
        <v>110</v>
      </c>
      <c r="D62" s="33">
        <v>0</v>
      </c>
      <c r="E62" s="33">
        <v>4</v>
      </c>
      <c r="F62" s="50">
        <v>1</v>
      </c>
      <c r="G62" s="33">
        <v>1</v>
      </c>
      <c r="H62" s="33">
        <v>0</v>
      </c>
      <c r="I62" s="33">
        <v>0</v>
      </c>
      <c r="J62" s="51">
        <v>1</v>
      </c>
      <c r="K62" s="33">
        <v>0</v>
      </c>
      <c r="L62" s="33">
        <v>0</v>
      </c>
      <c r="M62" s="52">
        <v>0</v>
      </c>
    </row>
    <row r="63" spans="1:13" x14ac:dyDescent="0.4">
      <c r="A63" s="33" t="s">
        <v>104</v>
      </c>
      <c r="B63" s="45">
        <v>65</v>
      </c>
      <c r="C63" s="46" t="s">
        <v>111</v>
      </c>
      <c r="D63" s="46">
        <v>0</v>
      </c>
      <c r="E63" s="46">
        <v>6</v>
      </c>
      <c r="F63" s="56">
        <v>2</v>
      </c>
      <c r="G63" s="58">
        <v>4</v>
      </c>
      <c r="H63" s="46">
        <v>0</v>
      </c>
      <c r="I63" s="46">
        <v>0</v>
      </c>
      <c r="J63" s="58">
        <v>2</v>
      </c>
      <c r="K63" s="46">
        <v>0</v>
      </c>
      <c r="L63" s="46">
        <v>0</v>
      </c>
      <c r="M63" s="48">
        <v>0</v>
      </c>
    </row>
    <row r="64" spans="1:13" x14ac:dyDescent="0.4">
      <c r="A64" s="33" t="s">
        <v>104</v>
      </c>
      <c r="B64" s="40">
        <v>66</v>
      </c>
      <c r="C64" s="41" t="s">
        <v>112</v>
      </c>
      <c r="D64" s="41">
        <v>0</v>
      </c>
      <c r="E64" s="41">
        <v>2</v>
      </c>
      <c r="F64" s="57">
        <v>0</v>
      </c>
      <c r="G64" s="41">
        <v>1</v>
      </c>
      <c r="H64" s="41">
        <v>0</v>
      </c>
      <c r="I64" s="41">
        <v>0</v>
      </c>
      <c r="J64" s="41">
        <v>0</v>
      </c>
      <c r="K64" s="41">
        <v>0</v>
      </c>
      <c r="L64" s="41">
        <v>0</v>
      </c>
      <c r="M64" s="44">
        <v>0</v>
      </c>
    </row>
    <row r="65" spans="1:13" x14ac:dyDescent="0.4">
      <c r="A65" s="33" t="s">
        <v>104</v>
      </c>
      <c r="B65" s="49">
        <v>67</v>
      </c>
      <c r="C65" s="33" t="s">
        <v>113</v>
      </c>
      <c r="D65" s="33">
        <v>0</v>
      </c>
      <c r="E65" s="33">
        <v>4</v>
      </c>
      <c r="F65" s="53">
        <v>0</v>
      </c>
      <c r="G65" s="33">
        <v>1</v>
      </c>
      <c r="H65" s="33">
        <v>0</v>
      </c>
      <c r="I65" s="33">
        <v>0</v>
      </c>
      <c r="J65" s="33">
        <v>0</v>
      </c>
      <c r="K65" s="33">
        <v>0</v>
      </c>
      <c r="L65" s="33">
        <v>0</v>
      </c>
      <c r="M65" s="52">
        <v>0</v>
      </c>
    </row>
    <row r="66" spans="1:13" x14ac:dyDescent="0.4">
      <c r="A66" s="33" t="s">
        <v>104</v>
      </c>
      <c r="B66" s="49">
        <v>68</v>
      </c>
      <c r="C66" s="33" t="s">
        <v>114</v>
      </c>
      <c r="D66" s="33">
        <v>0</v>
      </c>
      <c r="E66" s="33">
        <v>2</v>
      </c>
      <c r="F66" s="53">
        <v>0</v>
      </c>
      <c r="G66" s="33">
        <v>1</v>
      </c>
      <c r="H66" s="33">
        <v>0</v>
      </c>
      <c r="I66" s="33">
        <v>0</v>
      </c>
      <c r="J66" s="33">
        <v>0</v>
      </c>
      <c r="K66" s="33">
        <v>0</v>
      </c>
      <c r="L66" s="33">
        <v>0</v>
      </c>
      <c r="M66" s="52">
        <v>0</v>
      </c>
    </row>
    <row r="67" spans="1:13" x14ac:dyDescent="0.4">
      <c r="A67" s="33" t="s">
        <v>104</v>
      </c>
      <c r="B67" s="49">
        <v>69</v>
      </c>
      <c r="C67" s="33" t="s">
        <v>115</v>
      </c>
      <c r="D67" s="33">
        <v>0</v>
      </c>
      <c r="E67" s="33">
        <v>2</v>
      </c>
      <c r="F67" s="53">
        <v>0</v>
      </c>
      <c r="G67" s="33">
        <v>1</v>
      </c>
      <c r="H67" s="33">
        <v>0</v>
      </c>
      <c r="I67" s="33">
        <v>0</v>
      </c>
      <c r="J67" s="33">
        <v>0</v>
      </c>
      <c r="K67" s="33">
        <v>0</v>
      </c>
      <c r="L67" s="33">
        <v>0</v>
      </c>
      <c r="M67" s="52">
        <v>0</v>
      </c>
    </row>
    <row r="68" spans="1:13" x14ac:dyDescent="0.4">
      <c r="A68" s="33" t="s">
        <v>104</v>
      </c>
      <c r="B68" s="49">
        <v>70</v>
      </c>
      <c r="C68" s="33" t="s">
        <v>116</v>
      </c>
      <c r="D68" s="33">
        <v>0</v>
      </c>
      <c r="E68" s="33">
        <v>2</v>
      </c>
      <c r="F68" s="53">
        <v>0</v>
      </c>
      <c r="G68" s="33">
        <v>1</v>
      </c>
      <c r="H68" s="33">
        <v>0</v>
      </c>
      <c r="I68" s="33">
        <v>0</v>
      </c>
      <c r="J68" s="33">
        <v>0</v>
      </c>
      <c r="K68" s="33">
        <v>0</v>
      </c>
      <c r="L68" s="33">
        <v>0</v>
      </c>
      <c r="M68" s="52">
        <v>0</v>
      </c>
    </row>
    <row r="69" spans="1:13" x14ac:dyDescent="0.4">
      <c r="A69" s="33" t="s">
        <v>104</v>
      </c>
      <c r="B69" s="49">
        <v>71</v>
      </c>
      <c r="C69" s="33" t="s">
        <v>117</v>
      </c>
      <c r="D69" s="33">
        <v>0</v>
      </c>
      <c r="E69" s="33">
        <v>1</v>
      </c>
      <c r="F69" s="53">
        <v>0</v>
      </c>
      <c r="G69" s="33">
        <v>1</v>
      </c>
      <c r="H69" s="33">
        <v>0</v>
      </c>
      <c r="I69" s="33">
        <v>0</v>
      </c>
      <c r="J69" s="33">
        <v>0</v>
      </c>
      <c r="K69" s="33">
        <v>0</v>
      </c>
      <c r="L69" s="33">
        <v>0</v>
      </c>
      <c r="M69" s="52">
        <v>0</v>
      </c>
    </row>
    <row r="70" spans="1:13" x14ac:dyDescent="0.4">
      <c r="A70" s="33" t="s">
        <v>104</v>
      </c>
      <c r="B70" s="45">
        <v>72</v>
      </c>
      <c r="C70" s="46" t="s">
        <v>118</v>
      </c>
      <c r="D70" s="46">
        <v>0</v>
      </c>
      <c r="E70" s="46">
        <v>1</v>
      </c>
      <c r="F70" s="47">
        <v>0</v>
      </c>
      <c r="G70" s="46">
        <v>1</v>
      </c>
      <c r="H70" s="46">
        <v>0</v>
      </c>
      <c r="I70" s="46">
        <v>0</v>
      </c>
      <c r="J70" s="46">
        <v>0</v>
      </c>
      <c r="K70" s="46">
        <v>0</v>
      </c>
      <c r="L70" s="46">
        <v>0</v>
      </c>
      <c r="M70" s="48">
        <v>0</v>
      </c>
    </row>
    <row r="71" spans="1:13" x14ac:dyDescent="0.4">
      <c r="A71" s="59"/>
      <c r="B71" s="59"/>
      <c r="C71" s="59"/>
      <c r="D71" s="33"/>
      <c r="E71" s="33"/>
      <c r="F71" s="33"/>
      <c r="G71" s="33"/>
      <c r="H71" s="33"/>
      <c r="I71" s="33"/>
      <c r="J71" s="33"/>
      <c r="K71" s="33"/>
      <c r="L71" s="33"/>
      <c r="M71" s="33"/>
    </row>
  </sheetData>
  <phoneticPr fontId="1" type="noConversion"/>
  <printOptions horizontalCentered="1"/>
  <pageMargins left="0.39370078740157483" right="0.39370078740157483" top="0.39370078740157483" bottom="0.39370078740157483" header="0.31496062992125984" footer="0.31496062992125984"/>
  <pageSetup paperSize="8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8F482-9F85-46AB-B7E5-39A0B2242CC6}">
  <dimension ref="A1:R71"/>
  <sheetViews>
    <sheetView tabSelected="1" workbookViewId="0">
      <selection activeCell="N18" sqref="N18"/>
    </sheetView>
  </sheetViews>
  <sheetFormatPr defaultColWidth="9" defaultRowHeight="17" x14ac:dyDescent="0.4"/>
  <cols>
    <col min="1" max="2" width="3.453125" style="39" bestFit="1" customWidth="1"/>
    <col min="3" max="3" width="31.6328125" style="39" bestFit="1" customWidth="1"/>
    <col min="4" max="6" width="7.453125" style="60" customWidth="1"/>
    <col min="7" max="7" width="5.453125" style="60" customWidth="1"/>
    <col min="8" max="8" width="7.453125" style="60" customWidth="1"/>
    <col min="9" max="9" width="9.08984375" style="60" customWidth="1"/>
    <col min="10" max="10" width="7.453125" style="60" customWidth="1"/>
    <col min="11" max="11" width="5.453125" style="60" customWidth="1"/>
    <col min="12" max="12" width="7.453125" style="60" customWidth="1"/>
    <col min="13" max="13" width="5.453125" style="60" customWidth="1"/>
    <col min="14" max="14" width="9" style="39"/>
    <col min="15" max="15" width="5.6328125" style="39" bestFit="1" customWidth="1"/>
    <col min="16" max="16" width="3.453125" style="39" bestFit="1" customWidth="1"/>
    <col min="17" max="17" width="28.6328125" style="39" customWidth="1"/>
    <col min="18" max="18" width="5.6328125" style="39" bestFit="1" customWidth="1"/>
    <col min="19" max="16384" width="9" style="39"/>
  </cols>
  <sheetData>
    <row r="1" spans="1:18" ht="34.5" thickBot="1" x14ac:dyDescent="0.45">
      <c r="A1" s="63" t="s">
        <v>29</v>
      </c>
      <c r="B1" s="64" t="s">
        <v>30</v>
      </c>
      <c r="C1" s="84" t="s">
        <v>31</v>
      </c>
      <c r="D1" s="65" t="s">
        <v>32</v>
      </c>
      <c r="E1" s="65" t="s">
        <v>33</v>
      </c>
      <c r="F1" s="78" t="s">
        <v>34</v>
      </c>
      <c r="G1" s="65" t="s">
        <v>35</v>
      </c>
      <c r="H1" s="65" t="s">
        <v>36</v>
      </c>
      <c r="I1" s="65" t="s">
        <v>37</v>
      </c>
      <c r="J1" s="65" t="s">
        <v>38</v>
      </c>
      <c r="K1" s="65" t="s">
        <v>39</v>
      </c>
      <c r="L1" s="65" t="s">
        <v>40</v>
      </c>
      <c r="M1" s="67" t="s">
        <v>41</v>
      </c>
    </row>
    <row r="2" spans="1:18" x14ac:dyDescent="0.4">
      <c r="A2" s="63" t="s">
        <v>55</v>
      </c>
      <c r="B2" s="64">
        <v>13</v>
      </c>
      <c r="C2" s="67" t="s">
        <v>56</v>
      </c>
      <c r="D2" s="65">
        <v>3</v>
      </c>
      <c r="E2" s="65">
        <v>3</v>
      </c>
      <c r="F2" s="66">
        <v>3</v>
      </c>
      <c r="G2" s="65">
        <v>1</v>
      </c>
      <c r="H2" s="65">
        <v>0</v>
      </c>
      <c r="I2" s="65">
        <v>0</v>
      </c>
      <c r="J2" s="65">
        <v>0</v>
      </c>
      <c r="K2" s="65">
        <v>0</v>
      </c>
      <c r="L2" s="65">
        <v>0</v>
      </c>
      <c r="M2" s="67">
        <v>0</v>
      </c>
      <c r="N2" s="39" t="s">
        <v>120</v>
      </c>
      <c r="O2" s="63" t="s">
        <v>42</v>
      </c>
      <c r="P2" s="64">
        <v>1</v>
      </c>
      <c r="Q2" s="65" t="s">
        <v>43</v>
      </c>
      <c r="R2" s="86" t="s">
        <v>120</v>
      </c>
    </row>
    <row r="3" spans="1:18" x14ac:dyDescent="0.4">
      <c r="A3" s="68" t="s">
        <v>55</v>
      </c>
      <c r="B3" s="49">
        <v>14</v>
      </c>
      <c r="C3" s="69" t="s">
        <v>57</v>
      </c>
      <c r="D3" s="61">
        <v>3</v>
      </c>
      <c r="E3" s="61">
        <v>3</v>
      </c>
      <c r="F3" s="50">
        <v>3</v>
      </c>
      <c r="G3" s="61">
        <v>1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9">
        <v>0</v>
      </c>
      <c r="N3" s="39" t="s">
        <v>120</v>
      </c>
      <c r="O3" s="68" t="s">
        <v>42</v>
      </c>
      <c r="P3" s="49">
        <v>2</v>
      </c>
      <c r="Q3" s="61" t="s">
        <v>44</v>
      </c>
      <c r="R3" s="87" t="s">
        <v>121</v>
      </c>
    </row>
    <row r="4" spans="1:18" x14ac:dyDescent="0.4">
      <c r="A4" s="68" t="s">
        <v>55</v>
      </c>
      <c r="B4" s="49">
        <v>15</v>
      </c>
      <c r="C4" s="69" t="s">
        <v>58</v>
      </c>
      <c r="D4" s="61">
        <v>3</v>
      </c>
      <c r="E4" s="61">
        <v>3</v>
      </c>
      <c r="F4" s="50">
        <v>3</v>
      </c>
      <c r="G4" s="62">
        <v>3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9">
        <v>0</v>
      </c>
      <c r="N4" s="39" t="s">
        <v>120</v>
      </c>
      <c r="O4" s="79" t="s">
        <v>42</v>
      </c>
      <c r="P4" s="40">
        <v>3</v>
      </c>
      <c r="Q4" s="41" t="s">
        <v>45</v>
      </c>
      <c r="R4" s="87" t="s">
        <v>120</v>
      </c>
    </row>
    <row r="5" spans="1:18" x14ac:dyDescent="0.4">
      <c r="A5" s="68" t="s">
        <v>55</v>
      </c>
      <c r="B5" s="49">
        <v>16</v>
      </c>
      <c r="C5" s="69" t="s">
        <v>59</v>
      </c>
      <c r="D5" s="61">
        <v>3</v>
      </c>
      <c r="E5" s="61">
        <v>3</v>
      </c>
      <c r="F5" s="50">
        <v>3</v>
      </c>
      <c r="G5" s="62">
        <v>3</v>
      </c>
      <c r="H5" s="61">
        <v>0</v>
      </c>
      <c r="I5" s="61">
        <v>0</v>
      </c>
      <c r="J5" s="61">
        <v>0</v>
      </c>
      <c r="K5" s="62">
        <v>1</v>
      </c>
      <c r="L5" s="61">
        <v>0</v>
      </c>
      <c r="M5" s="69">
        <v>0</v>
      </c>
      <c r="N5" s="39" t="s">
        <v>120</v>
      </c>
      <c r="O5" s="68" t="s">
        <v>42</v>
      </c>
      <c r="P5" s="49">
        <v>4</v>
      </c>
      <c r="Q5" s="61" t="s">
        <v>46</v>
      </c>
      <c r="R5" s="87" t="s">
        <v>121</v>
      </c>
    </row>
    <row r="6" spans="1:18" x14ac:dyDescent="0.4">
      <c r="A6" s="68" t="s">
        <v>55</v>
      </c>
      <c r="B6" s="49">
        <v>17</v>
      </c>
      <c r="C6" s="69" t="s">
        <v>60</v>
      </c>
      <c r="D6" s="61">
        <v>2</v>
      </c>
      <c r="E6" s="61">
        <v>2</v>
      </c>
      <c r="F6" s="53">
        <v>2</v>
      </c>
      <c r="G6" s="61">
        <v>1</v>
      </c>
      <c r="H6" s="61">
        <v>0</v>
      </c>
      <c r="I6" s="61">
        <v>0</v>
      </c>
      <c r="J6" s="62">
        <v>1</v>
      </c>
      <c r="K6" s="61">
        <v>0</v>
      </c>
      <c r="L6" s="61">
        <v>0</v>
      </c>
      <c r="M6" s="69">
        <v>0</v>
      </c>
      <c r="N6" s="39" t="s">
        <v>120</v>
      </c>
      <c r="O6" s="68" t="s">
        <v>42</v>
      </c>
      <c r="P6" s="49">
        <v>5</v>
      </c>
      <c r="Q6" s="61" t="s">
        <v>47</v>
      </c>
      <c r="R6" s="87" t="s">
        <v>121</v>
      </c>
    </row>
    <row r="7" spans="1:18" x14ac:dyDescent="0.4">
      <c r="A7" s="68" t="s">
        <v>55</v>
      </c>
      <c r="B7" s="49">
        <v>18</v>
      </c>
      <c r="C7" s="85" t="s">
        <v>61</v>
      </c>
      <c r="D7" s="61">
        <v>3</v>
      </c>
      <c r="E7" s="61">
        <v>3</v>
      </c>
      <c r="F7" s="50">
        <v>3</v>
      </c>
      <c r="G7" s="61">
        <v>1</v>
      </c>
      <c r="H7" s="61">
        <v>0</v>
      </c>
      <c r="I7" s="61">
        <v>0</v>
      </c>
      <c r="J7" s="62">
        <v>1</v>
      </c>
      <c r="K7" s="62">
        <v>1</v>
      </c>
      <c r="L7" s="61">
        <v>0</v>
      </c>
      <c r="M7" s="69">
        <v>0</v>
      </c>
      <c r="O7" s="80" t="s">
        <v>42</v>
      </c>
      <c r="P7" s="45">
        <v>6</v>
      </c>
      <c r="Q7" s="46" t="s">
        <v>48</v>
      </c>
      <c r="R7" s="87" t="s">
        <v>121</v>
      </c>
    </row>
    <row r="8" spans="1:18" x14ac:dyDescent="0.4">
      <c r="A8" s="68" t="s">
        <v>55</v>
      </c>
      <c r="B8" s="49">
        <v>19</v>
      </c>
      <c r="C8" s="69" t="s">
        <v>62</v>
      </c>
      <c r="D8" s="61">
        <v>0</v>
      </c>
      <c r="E8" s="61">
        <v>6</v>
      </c>
      <c r="F8" s="50">
        <v>3</v>
      </c>
      <c r="G8" s="61">
        <v>1</v>
      </c>
      <c r="H8" s="61">
        <v>0</v>
      </c>
      <c r="I8" s="61">
        <v>0</v>
      </c>
      <c r="J8" s="62">
        <v>3</v>
      </c>
      <c r="K8" s="62">
        <v>1</v>
      </c>
      <c r="L8" s="61">
        <v>0</v>
      </c>
      <c r="M8" s="69">
        <v>0</v>
      </c>
      <c r="O8" s="68" t="s">
        <v>42</v>
      </c>
      <c r="P8" s="49">
        <v>7</v>
      </c>
      <c r="Q8" s="61" t="s">
        <v>49</v>
      </c>
      <c r="R8" s="87" t="s">
        <v>119</v>
      </c>
    </row>
    <row r="9" spans="1:18" x14ac:dyDescent="0.4">
      <c r="A9" s="68" t="s">
        <v>55</v>
      </c>
      <c r="B9" s="49">
        <v>20</v>
      </c>
      <c r="C9" s="69" t="s">
        <v>63</v>
      </c>
      <c r="D9" s="61">
        <v>3</v>
      </c>
      <c r="E9" s="61">
        <v>3</v>
      </c>
      <c r="F9" s="53">
        <v>0</v>
      </c>
      <c r="G9" s="61">
        <v>1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9">
        <v>0</v>
      </c>
      <c r="O9" s="68" t="s">
        <v>42</v>
      </c>
      <c r="P9" s="49">
        <v>8</v>
      </c>
      <c r="Q9" s="61" t="s">
        <v>50</v>
      </c>
      <c r="R9" s="87" t="s">
        <v>121</v>
      </c>
    </row>
    <row r="10" spans="1:18" x14ac:dyDescent="0.4">
      <c r="A10" s="68" t="s">
        <v>55</v>
      </c>
      <c r="B10" s="49">
        <v>21</v>
      </c>
      <c r="C10" s="69" t="s">
        <v>64</v>
      </c>
      <c r="D10" s="61">
        <v>3</v>
      </c>
      <c r="E10" s="61">
        <v>3</v>
      </c>
      <c r="F10" s="50">
        <v>3</v>
      </c>
      <c r="G10" s="61">
        <v>1</v>
      </c>
      <c r="H10" s="61">
        <v>0</v>
      </c>
      <c r="I10" s="61">
        <v>0</v>
      </c>
      <c r="J10" s="61">
        <v>0</v>
      </c>
      <c r="K10" s="62">
        <v>1</v>
      </c>
      <c r="L10" s="61">
        <v>0</v>
      </c>
      <c r="M10" s="70">
        <v>2</v>
      </c>
      <c r="O10" s="79" t="s">
        <v>42</v>
      </c>
      <c r="P10" s="40">
        <v>11</v>
      </c>
      <c r="Q10" s="41" t="s">
        <v>53</v>
      </c>
      <c r="R10" s="87" t="s">
        <v>119</v>
      </c>
    </row>
    <row r="11" spans="1:18" ht="17.5" thickBot="1" x14ac:dyDescent="0.45">
      <c r="A11" s="68" t="s">
        <v>55</v>
      </c>
      <c r="B11" s="49">
        <v>22</v>
      </c>
      <c r="C11" s="69" t="s">
        <v>65</v>
      </c>
      <c r="D11" s="61">
        <v>3</v>
      </c>
      <c r="E11" s="61">
        <v>3</v>
      </c>
      <c r="F11" s="50">
        <v>3</v>
      </c>
      <c r="G11" s="61">
        <v>1</v>
      </c>
      <c r="H11" s="61">
        <v>0</v>
      </c>
      <c r="I11" s="61">
        <v>0</v>
      </c>
      <c r="J11" s="61">
        <v>0</v>
      </c>
      <c r="K11" s="62">
        <v>1</v>
      </c>
      <c r="L11" s="61">
        <v>0</v>
      </c>
      <c r="M11" s="69">
        <v>0</v>
      </c>
      <c r="O11" s="80" t="s">
        <v>42</v>
      </c>
      <c r="P11" s="45">
        <v>12</v>
      </c>
      <c r="Q11" s="46" t="s">
        <v>54</v>
      </c>
      <c r="R11" s="87" t="s">
        <v>120</v>
      </c>
    </row>
    <row r="12" spans="1:18" x14ac:dyDescent="0.4">
      <c r="A12" s="68" t="s">
        <v>55</v>
      </c>
      <c r="B12" s="49">
        <v>23</v>
      </c>
      <c r="C12" s="69" t="s">
        <v>66</v>
      </c>
      <c r="D12" s="61">
        <v>3</v>
      </c>
      <c r="E12" s="61">
        <v>2</v>
      </c>
      <c r="F12" s="50">
        <v>1</v>
      </c>
      <c r="G12" s="62">
        <v>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9">
        <v>0</v>
      </c>
      <c r="O12" s="63" t="s">
        <v>97</v>
      </c>
      <c r="P12" s="64">
        <v>53</v>
      </c>
      <c r="Q12" s="65" t="s">
        <v>98</v>
      </c>
      <c r="R12" s="87" t="s">
        <v>121</v>
      </c>
    </row>
    <row r="13" spans="1:18" x14ac:dyDescent="0.4">
      <c r="A13" s="68" t="s">
        <v>55</v>
      </c>
      <c r="B13" s="49">
        <v>24</v>
      </c>
      <c r="C13" s="69" t="s">
        <v>67</v>
      </c>
      <c r="D13" s="61">
        <v>3</v>
      </c>
      <c r="E13" s="61">
        <v>2</v>
      </c>
      <c r="F13" s="50">
        <v>1</v>
      </c>
      <c r="G13" s="61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9">
        <v>0</v>
      </c>
      <c r="O13" s="68" t="s">
        <v>97</v>
      </c>
      <c r="P13" s="49">
        <v>54</v>
      </c>
      <c r="Q13" s="61" t="s">
        <v>122</v>
      </c>
      <c r="R13" s="87" t="s">
        <v>121</v>
      </c>
    </row>
    <row r="14" spans="1:18" x14ac:dyDescent="0.4">
      <c r="A14" s="68" t="s">
        <v>55</v>
      </c>
      <c r="B14" s="49">
        <v>25</v>
      </c>
      <c r="C14" s="69" t="s">
        <v>68</v>
      </c>
      <c r="D14" s="61">
        <v>2</v>
      </c>
      <c r="E14" s="61">
        <v>0</v>
      </c>
      <c r="F14" s="50">
        <v>2</v>
      </c>
      <c r="G14" s="61">
        <v>1</v>
      </c>
      <c r="H14" s="61">
        <v>0</v>
      </c>
      <c r="I14" s="61">
        <v>0</v>
      </c>
      <c r="J14" s="61">
        <v>0</v>
      </c>
      <c r="K14" s="61">
        <v>0</v>
      </c>
      <c r="L14" s="61">
        <v>0</v>
      </c>
      <c r="M14" s="69">
        <v>0</v>
      </c>
      <c r="O14" s="68" t="s">
        <v>97</v>
      </c>
      <c r="P14" s="49">
        <v>55</v>
      </c>
      <c r="Q14" s="61" t="s">
        <v>123</v>
      </c>
      <c r="R14" s="87" t="s">
        <v>120</v>
      </c>
    </row>
    <row r="15" spans="1:18" x14ac:dyDescent="0.4">
      <c r="A15" s="79" t="s">
        <v>69</v>
      </c>
      <c r="B15" s="40">
        <v>29</v>
      </c>
      <c r="C15" s="72" t="s">
        <v>70</v>
      </c>
      <c r="D15" s="43">
        <v>2</v>
      </c>
      <c r="E15" s="41">
        <v>0</v>
      </c>
      <c r="F15" s="57">
        <v>0</v>
      </c>
      <c r="G15" s="41">
        <v>0</v>
      </c>
      <c r="H15" s="41">
        <v>0</v>
      </c>
      <c r="I15" s="41">
        <v>0</v>
      </c>
      <c r="J15" s="41">
        <v>0</v>
      </c>
      <c r="K15" s="41">
        <v>0</v>
      </c>
      <c r="L15" s="41">
        <v>0</v>
      </c>
      <c r="M15" s="72">
        <v>0</v>
      </c>
      <c r="N15" s="39" t="s">
        <v>128</v>
      </c>
      <c r="O15" s="68" t="s">
        <v>97</v>
      </c>
      <c r="P15" s="49">
        <v>56</v>
      </c>
      <c r="Q15" s="61" t="s">
        <v>124</v>
      </c>
      <c r="R15" s="87" t="s">
        <v>120</v>
      </c>
    </row>
    <row r="16" spans="1:18" x14ac:dyDescent="0.4">
      <c r="A16" s="68" t="s">
        <v>69</v>
      </c>
      <c r="B16" s="49">
        <v>30</v>
      </c>
      <c r="C16" s="69" t="s">
        <v>71</v>
      </c>
      <c r="D16" s="61">
        <v>0</v>
      </c>
      <c r="E16" s="61">
        <v>2</v>
      </c>
      <c r="F16" s="50">
        <v>2</v>
      </c>
      <c r="G16" s="61">
        <v>0</v>
      </c>
      <c r="H16" s="61">
        <v>0</v>
      </c>
      <c r="I16" s="61">
        <v>0</v>
      </c>
      <c r="J16" s="61">
        <v>0</v>
      </c>
      <c r="K16" s="61">
        <v>0</v>
      </c>
      <c r="L16" s="61">
        <v>0</v>
      </c>
      <c r="M16" s="69">
        <v>0</v>
      </c>
      <c r="N16" s="39" t="s">
        <v>128</v>
      </c>
      <c r="O16" s="68" t="s">
        <v>97</v>
      </c>
      <c r="P16" s="49">
        <v>57</v>
      </c>
      <c r="Q16" s="61" t="s">
        <v>125</v>
      </c>
      <c r="R16" s="87" t="s">
        <v>119</v>
      </c>
    </row>
    <row r="17" spans="1:18" ht="17.5" thickBot="1" x14ac:dyDescent="0.45">
      <c r="A17" s="80" t="s">
        <v>69</v>
      </c>
      <c r="B17" s="45">
        <v>31</v>
      </c>
      <c r="C17" s="71" t="s">
        <v>72</v>
      </c>
      <c r="D17" s="58">
        <v>2</v>
      </c>
      <c r="E17" s="46">
        <v>2</v>
      </c>
      <c r="F17" s="56">
        <v>2</v>
      </c>
      <c r="G17" s="46">
        <v>0</v>
      </c>
      <c r="H17" s="46">
        <v>0</v>
      </c>
      <c r="I17" s="46">
        <v>0</v>
      </c>
      <c r="J17" s="46">
        <v>0</v>
      </c>
      <c r="K17" s="46">
        <v>0</v>
      </c>
      <c r="L17" s="46">
        <v>0</v>
      </c>
      <c r="M17" s="71">
        <v>0</v>
      </c>
      <c r="N17" s="39" t="s">
        <v>128</v>
      </c>
      <c r="O17" s="73" t="s">
        <v>97</v>
      </c>
      <c r="P17" s="74">
        <v>58</v>
      </c>
      <c r="Q17" s="75" t="s">
        <v>126</v>
      </c>
      <c r="R17" s="88" t="s">
        <v>119</v>
      </c>
    </row>
    <row r="18" spans="1:18" x14ac:dyDescent="0.4">
      <c r="A18" s="79" t="s">
        <v>104</v>
      </c>
      <c r="B18" s="40">
        <v>59</v>
      </c>
      <c r="C18" s="72" t="s">
        <v>105</v>
      </c>
      <c r="D18" s="41">
        <v>0</v>
      </c>
      <c r="E18" s="41">
        <v>2</v>
      </c>
      <c r="F18" s="57">
        <v>0</v>
      </c>
      <c r="G18" s="41">
        <v>1</v>
      </c>
      <c r="H18" s="41">
        <v>0</v>
      </c>
      <c r="I18" s="41">
        <v>0</v>
      </c>
      <c r="J18" s="41">
        <v>0</v>
      </c>
      <c r="K18" s="41">
        <v>0</v>
      </c>
      <c r="L18" s="41">
        <v>0</v>
      </c>
      <c r="M18" s="72">
        <v>0</v>
      </c>
      <c r="N18" s="39" t="s">
        <v>121</v>
      </c>
    </row>
    <row r="19" spans="1:18" x14ac:dyDescent="0.4">
      <c r="A19" s="68" t="s">
        <v>104</v>
      </c>
      <c r="B19" s="49">
        <v>60</v>
      </c>
      <c r="C19" s="69" t="s">
        <v>106</v>
      </c>
      <c r="D19" s="61">
        <v>0</v>
      </c>
      <c r="E19" s="61">
        <v>2</v>
      </c>
      <c r="F19" s="53">
        <v>0</v>
      </c>
      <c r="G19" s="61">
        <v>1</v>
      </c>
      <c r="H19" s="61">
        <v>0</v>
      </c>
      <c r="I19" s="61">
        <v>0</v>
      </c>
      <c r="J19" s="61">
        <v>0</v>
      </c>
      <c r="K19" s="61">
        <v>0</v>
      </c>
      <c r="L19" s="61">
        <v>0</v>
      </c>
      <c r="M19" s="69">
        <v>0</v>
      </c>
      <c r="N19" s="39" t="s">
        <v>121</v>
      </c>
    </row>
    <row r="20" spans="1:18" x14ac:dyDescent="0.4">
      <c r="A20" s="68" t="s">
        <v>104</v>
      </c>
      <c r="B20" s="49">
        <v>61</v>
      </c>
      <c r="C20" s="69" t="s">
        <v>107</v>
      </c>
      <c r="D20" s="61">
        <v>0</v>
      </c>
      <c r="E20" s="61">
        <v>7</v>
      </c>
      <c r="F20" s="53">
        <v>0</v>
      </c>
      <c r="G20" s="62">
        <v>3</v>
      </c>
      <c r="H20" s="61">
        <v>0</v>
      </c>
      <c r="I20" s="61">
        <v>0</v>
      </c>
      <c r="J20" s="62">
        <v>1</v>
      </c>
      <c r="K20" s="62">
        <v>1</v>
      </c>
      <c r="L20" s="62">
        <v>1</v>
      </c>
      <c r="M20" s="70">
        <v>1</v>
      </c>
      <c r="N20" s="39" t="s">
        <v>120</v>
      </c>
    </row>
    <row r="21" spans="1:18" x14ac:dyDescent="0.4">
      <c r="A21" s="68" t="s">
        <v>104</v>
      </c>
      <c r="B21" s="49">
        <v>62</v>
      </c>
      <c r="C21" s="69" t="s">
        <v>108</v>
      </c>
      <c r="D21" s="61">
        <v>0</v>
      </c>
      <c r="E21" s="61">
        <v>7</v>
      </c>
      <c r="F21" s="53">
        <v>0</v>
      </c>
      <c r="G21" s="62">
        <v>3</v>
      </c>
      <c r="H21" s="61">
        <v>0</v>
      </c>
      <c r="I21" s="61">
        <v>0</v>
      </c>
      <c r="J21" s="61">
        <v>0</v>
      </c>
      <c r="K21" s="62">
        <v>1</v>
      </c>
      <c r="L21" s="62">
        <v>1</v>
      </c>
      <c r="M21" s="70">
        <v>2</v>
      </c>
      <c r="N21" s="39" t="s">
        <v>119</v>
      </c>
    </row>
    <row r="22" spans="1:18" x14ac:dyDescent="0.4">
      <c r="A22" s="68" t="s">
        <v>104</v>
      </c>
      <c r="B22" s="49">
        <v>63</v>
      </c>
      <c r="C22" s="69" t="s">
        <v>109</v>
      </c>
      <c r="D22" s="61">
        <v>0</v>
      </c>
      <c r="E22" s="61">
        <v>7</v>
      </c>
      <c r="F22" s="50">
        <v>2</v>
      </c>
      <c r="G22" s="62">
        <v>3</v>
      </c>
      <c r="H22" s="61">
        <v>0</v>
      </c>
      <c r="I22" s="61">
        <v>0</v>
      </c>
      <c r="J22" s="62">
        <v>2</v>
      </c>
      <c r="K22" s="61">
        <v>0</v>
      </c>
      <c r="L22" s="61">
        <v>0</v>
      </c>
      <c r="M22" s="69">
        <v>0</v>
      </c>
      <c r="N22" s="39" t="s">
        <v>119</v>
      </c>
    </row>
    <row r="23" spans="1:18" x14ac:dyDescent="0.4">
      <c r="A23" s="68" t="s">
        <v>104</v>
      </c>
      <c r="B23" s="49">
        <v>64</v>
      </c>
      <c r="C23" s="69" t="s">
        <v>110</v>
      </c>
      <c r="D23" s="61">
        <v>0</v>
      </c>
      <c r="E23" s="61">
        <v>4</v>
      </c>
      <c r="F23" s="50">
        <v>1</v>
      </c>
      <c r="G23" s="61">
        <v>1</v>
      </c>
      <c r="H23" s="61">
        <v>0</v>
      </c>
      <c r="I23" s="61">
        <v>0</v>
      </c>
      <c r="J23" s="62">
        <v>1</v>
      </c>
      <c r="K23" s="61">
        <v>0</v>
      </c>
      <c r="L23" s="61">
        <v>0</v>
      </c>
      <c r="M23" s="69">
        <v>0</v>
      </c>
      <c r="N23" s="39" t="s">
        <v>119</v>
      </c>
    </row>
    <row r="24" spans="1:18" x14ac:dyDescent="0.4">
      <c r="A24" s="80" t="s">
        <v>104</v>
      </c>
      <c r="B24" s="45">
        <v>65</v>
      </c>
      <c r="C24" s="71" t="s">
        <v>111</v>
      </c>
      <c r="D24" s="46">
        <v>0</v>
      </c>
      <c r="E24" s="46">
        <v>6</v>
      </c>
      <c r="F24" s="56">
        <v>2</v>
      </c>
      <c r="G24" s="58">
        <v>4</v>
      </c>
      <c r="H24" s="46">
        <v>0</v>
      </c>
      <c r="I24" s="46">
        <v>0</v>
      </c>
      <c r="J24" s="58">
        <v>2</v>
      </c>
      <c r="K24" s="46">
        <v>0</v>
      </c>
      <c r="L24" s="46">
        <v>0</v>
      </c>
      <c r="M24" s="71">
        <v>0</v>
      </c>
      <c r="N24" s="39" t="s">
        <v>119</v>
      </c>
    </row>
    <row r="25" spans="1:18" x14ac:dyDescent="0.4">
      <c r="A25" s="68" t="s">
        <v>104</v>
      </c>
      <c r="B25" s="49">
        <v>66</v>
      </c>
      <c r="C25" s="69" t="s">
        <v>112</v>
      </c>
      <c r="D25" s="61">
        <v>0</v>
      </c>
      <c r="E25" s="61">
        <v>2</v>
      </c>
      <c r="F25" s="53">
        <v>0</v>
      </c>
      <c r="G25" s="61">
        <v>1</v>
      </c>
      <c r="H25" s="61">
        <v>0</v>
      </c>
      <c r="I25" s="61">
        <v>0</v>
      </c>
      <c r="J25" s="61">
        <v>0</v>
      </c>
      <c r="K25" s="61">
        <v>0</v>
      </c>
      <c r="L25" s="61">
        <v>0</v>
      </c>
      <c r="M25" s="69">
        <v>0</v>
      </c>
      <c r="N25" s="39" t="s">
        <v>121</v>
      </c>
    </row>
    <row r="26" spans="1:18" x14ac:dyDescent="0.4">
      <c r="A26" s="68" t="s">
        <v>104</v>
      </c>
      <c r="B26" s="49">
        <v>67</v>
      </c>
      <c r="C26" s="69" t="s">
        <v>113</v>
      </c>
      <c r="D26" s="61">
        <v>0</v>
      </c>
      <c r="E26" s="61">
        <v>4</v>
      </c>
      <c r="F26" s="53">
        <v>0</v>
      </c>
      <c r="G26" s="61">
        <v>1</v>
      </c>
      <c r="H26" s="61">
        <v>0</v>
      </c>
      <c r="I26" s="61">
        <v>0</v>
      </c>
      <c r="J26" s="61">
        <v>0</v>
      </c>
      <c r="K26" s="61">
        <v>0</v>
      </c>
      <c r="L26" s="61">
        <v>0</v>
      </c>
      <c r="M26" s="69">
        <v>0</v>
      </c>
      <c r="N26" s="39" t="s">
        <v>121</v>
      </c>
    </row>
    <row r="27" spans="1:18" x14ac:dyDescent="0.4">
      <c r="A27" s="68" t="s">
        <v>104</v>
      </c>
      <c r="B27" s="49">
        <v>68</v>
      </c>
      <c r="C27" s="69" t="s">
        <v>114</v>
      </c>
      <c r="D27" s="61">
        <v>0</v>
      </c>
      <c r="E27" s="61">
        <v>2</v>
      </c>
      <c r="F27" s="53">
        <v>0</v>
      </c>
      <c r="G27" s="61">
        <v>1</v>
      </c>
      <c r="H27" s="61">
        <v>0</v>
      </c>
      <c r="I27" s="61">
        <v>0</v>
      </c>
      <c r="J27" s="61">
        <v>0</v>
      </c>
      <c r="K27" s="61">
        <v>0</v>
      </c>
      <c r="L27" s="61">
        <v>0</v>
      </c>
      <c r="M27" s="69">
        <v>0</v>
      </c>
      <c r="N27" s="39" t="s">
        <v>121</v>
      </c>
    </row>
    <row r="28" spans="1:18" x14ac:dyDescent="0.4">
      <c r="A28" s="68" t="s">
        <v>104</v>
      </c>
      <c r="B28" s="49">
        <v>69</v>
      </c>
      <c r="C28" s="69" t="s">
        <v>115</v>
      </c>
      <c r="D28" s="61">
        <v>0</v>
      </c>
      <c r="E28" s="61">
        <v>2</v>
      </c>
      <c r="F28" s="53">
        <v>0</v>
      </c>
      <c r="G28" s="61">
        <v>1</v>
      </c>
      <c r="H28" s="61">
        <v>0</v>
      </c>
      <c r="I28" s="61">
        <v>0</v>
      </c>
      <c r="J28" s="61">
        <v>0</v>
      </c>
      <c r="K28" s="61">
        <v>0</v>
      </c>
      <c r="L28" s="61">
        <v>0</v>
      </c>
      <c r="M28" s="69">
        <v>0</v>
      </c>
      <c r="N28" s="39" t="s">
        <v>121</v>
      </c>
    </row>
    <row r="29" spans="1:18" x14ac:dyDescent="0.4">
      <c r="A29" s="68" t="s">
        <v>104</v>
      </c>
      <c r="B29" s="49">
        <v>70</v>
      </c>
      <c r="C29" s="69" t="s">
        <v>116</v>
      </c>
      <c r="D29" s="61">
        <v>0</v>
      </c>
      <c r="E29" s="61">
        <v>2</v>
      </c>
      <c r="F29" s="53">
        <v>0</v>
      </c>
      <c r="G29" s="61">
        <v>1</v>
      </c>
      <c r="H29" s="61">
        <v>0</v>
      </c>
      <c r="I29" s="61">
        <v>0</v>
      </c>
      <c r="J29" s="61">
        <v>0</v>
      </c>
      <c r="K29" s="61">
        <v>0</v>
      </c>
      <c r="L29" s="61">
        <v>0</v>
      </c>
      <c r="M29" s="69">
        <v>0</v>
      </c>
      <c r="N29" s="39" t="s">
        <v>127</v>
      </c>
    </row>
    <row r="30" spans="1:18" x14ac:dyDescent="0.4">
      <c r="A30" s="68" t="s">
        <v>104</v>
      </c>
      <c r="B30" s="49">
        <v>71</v>
      </c>
      <c r="C30" s="69" t="s">
        <v>117</v>
      </c>
      <c r="D30" s="61">
        <v>0</v>
      </c>
      <c r="E30" s="61">
        <v>1</v>
      </c>
      <c r="F30" s="53">
        <v>0</v>
      </c>
      <c r="G30" s="61">
        <v>1</v>
      </c>
      <c r="H30" s="61">
        <v>0</v>
      </c>
      <c r="I30" s="61">
        <v>0</v>
      </c>
      <c r="J30" s="61">
        <v>0</v>
      </c>
      <c r="K30" s="61">
        <v>0</v>
      </c>
      <c r="L30" s="61">
        <v>0</v>
      </c>
      <c r="M30" s="69">
        <v>0</v>
      </c>
      <c r="N30" s="39" t="s">
        <v>121</v>
      </c>
    </row>
    <row r="31" spans="1:18" ht="17.5" thickBot="1" x14ac:dyDescent="0.45">
      <c r="A31" s="73" t="s">
        <v>104</v>
      </c>
      <c r="B31" s="74">
        <v>72</v>
      </c>
      <c r="C31" s="77" t="s">
        <v>118</v>
      </c>
      <c r="D31" s="75">
        <v>0</v>
      </c>
      <c r="E31" s="75">
        <v>1</v>
      </c>
      <c r="F31" s="76">
        <v>0</v>
      </c>
      <c r="G31" s="75">
        <v>1</v>
      </c>
      <c r="H31" s="75">
        <v>0</v>
      </c>
      <c r="I31" s="75">
        <v>0</v>
      </c>
      <c r="J31" s="75">
        <v>0</v>
      </c>
      <c r="K31" s="75">
        <v>0</v>
      </c>
      <c r="L31" s="75">
        <v>0</v>
      </c>
      <c r="M31" s="77">
        <v>0</v>
      </c>
      <c r="N31" s="39" t="s">
        <v>121</v>
      </c>
    </row>
    <row r="32" spans="1:18" x14ac:dyDescent="0.4">
      <c r="A32" s="63" t="s">
        <v>42</v>
      </c>
      <c r="B32" s="64">
        <v>1</v>
      </c>
      <c r="C32" s="67" t="s">
        <v>43</v>
      </c>
      <c r="D32" s="65">
        <v>5</v>
      </c>
      <c r="E32" s="65">
        <v>5</v>
      </c>
      <c r="F32" s="66">
        <v>2</v>
      </c>
      <c r="G32" s="81">
        <v>2</v>
      </c>
      <c r="H32" s="65">
        <v>0</v>
      </c>
      <c r="I32" s="65">
        <v>0</v>
      </c>
      <c r="J32" s="65">
        <v>0</v>
      </c>
      <c r="K32" s="65">
        <v>0</v>
      </c>
      <c r="L32" s="65">
        <v>0</v>
      </c>
      <c r="M32" s="67">
        <v>0</v>
      </c>
      <c r="N32" s="39" t="s">
        <v>120</v>
      </c>
    </row>
    <row r="33" spans="1:14" x14ac:dyDescent="0.4">
      <c r="A33" s="68" t="s">
        <v>42</v>
      </c>
      <c r="B33" s="49">
        <v>2</v>
      </c>
      <c r="C33" s="69" t="s">
        <v>44</v>
      </c>
      <c r="D33" s="61">
        <v>2</v>
      </c>
      <c r="E33" s="61">
        <v>2</v>
      </c>
      <c r="F33" s="53">
        <v>0</v>
      </c>
      <c r="G33" s="61">
        <v>1</v>
      </c>
      <c r="H33" s="61">
        <v>0</v>
      </c>
      <c r="I33" s="61">
        <v>0</v>
      </c>
      <c r="J33" s="61">
        <v>0</v>
      </c>
      <c r="K33" s="61">
        <v>0</v>
      </c>
      <c r="L33" s="61">
        <v>0</v>
      </c>
      <c r="M33" s="69">
        <v>0</v>
      </c>
      <c r="N33" s="39" t="s">
        <v>121</v>
      </c>
    </row>
    <row r="34" spans="1:14" x14ac:dyDescent="0.4">
      <c r="A34" s="79" t="s">
        <v>42</v>
      </c>
      <c r="B34" s="40">
        <v>3</v>
      </c>
      <c r="C34" s="72" t="s">
        <v>45</v>
      </c>
      <c r="D34" s="41">
        <v>5</v>
      </c>
      <c r="E34" s="41">
        <v>5</v>
      </c>
      <c r="F34" s="42">
        <v>1</v>
      </c>
      <c r="G34" s="43">
        <v>2</v>
      </c>
      <c r="H34" s="41">
        <v>0</v>
      </c>
      <c r="I34" s="41">
        <v>0</v>
      </c>
      <c r="J34" s="41">
        <v>0</v>
      </c>
      <c r="K34" s="41">
        <v>0</v>
      </c>
      <c r="L34" s="41">
        <v>0</v>
      </c>
      <c r="M34" s="72">
        <v>0</v>
      </c>
      <c r="N34" s="39" t="s">
        <v>120</v>
      </c>
    </row>
    <row r="35" spans="1:14" x14ac:dyDescent="0.4">
      <c r="A35" s="68" t="s">
        <v>42</v>
      </c>
      <c r="B35" s="49">
        <v>4</v>
      </c>
      <c r="C35" s="69" t="s">
        <v>46</v>
      </c>
      <c r="D35" s="61">
        <v>3</v>
      </c>
      <c r="E35" s="61">
        <v>3</v>
      </c>
      <c r="F35" s="50">
        <v>1</v>
      </c>
      <c r="G35" s="62">
        <v>2</v>
      </c>
      <c r="H35" s="61">
        <v>0</v>
      </c>
      <c r="I35" s="61">
        <v>0</v>
      </c>
      <c r="J35" s="61">
        <v>0</v>
      </c>
      <c r="K35" s="61">
        <v>0</v>
      </c>
      <c r="L35" s="61">
        <v>0</v>
      </c>
      <c r="M35" s="69">
        <v>0</v>
      </c>
      <c r="N35" s="39" t="s">
        <v>121</v>
      </c>
    </row>
    <row r="36" spans="1:14" x14ac:dyDescent="0.4">
      <c r="A36" s="68" t="s">
        <v>42</v>
      </c>
      <c r="B36" s="49">
        <v>5</v>
      </c>
      <c r="C36" s="69" t="s">
        <v>47</v>
      </c>
      <c r="D36" s="61">
        <v>3</v>
      </c>
      <c r="E36" s="61">
        <v>3</v>
      </c>
      <c r="F36" s="50">
        <v>1</v>
      </c>
      <c r="G36" s="62">
        <v>2</v>
      </c>
      <c r="H36" s="61">
        <v>0</v>
      </c>
      <c r="I36" s="61">
        <v>0</v>
      </c>
      <c r="J36" s="62">
        <v>1</v>
      </c>
      <c r="K36" s="61">
        <v>0</v>
      </c>
      <c r="L36" s="61">
        <v>0</v>
      </c>
      <c r="M36" s="69">
        <v>0</v>
      </c>
      <c r="N36" s="39" t="s">
        <v>121</v>
      </c>
    </row>
    <row r="37" spans="1:14" x14ac:dyDescent="0.4">
      <c r="A37" s="80" t="s">
        <v>42</v>
      </c>
      <c r="B37" s="45">
        <v>6</v>
      </c>
      <c r="C37" s="71" t="s">
        <v>48</v>
      </c>
      <c r="D37" s="46">
        <v>2</v>
      </c>
      <c r="E37" s="46">
        <v>2</v>
      </c>
      <c r="F37" s="47">
        <v>0</v>
      </c>
      <c r="G37" s="46">
        <v>1</v>
      </c>
      <c r="H37" s="46">
        <v>0</v>
      </c>
      <c r="I37" s="46">
        <v>0</v>
      </c>
      <c r="J37" s="46">
        <v>0</v>
      </c>
      <c r="K37" s="46">
        <v>0</v>
      </c>
      <c r="L37" s="46">
        <v>0</v>
      </c>
      <c r="M37" s="71">
        <v>0</v>
      </c>
      <c r="N37" s="39" t="s">
        <v>121</v>
      </c>
    </row>
    <row r="38" spans="1:14" x14ac:dyDescent="0.4">
      <c r="A38" s="68" t="s">
        <v>42</v>
      </c>
      <c r="B38" s="49">
        <v>7</v>
      </c>
      <c r="C38" s="69" t="s">
        <v>49</v>
      </c>
      <c r="D38" s="61">
        <v>6</v>
      </c>
      <c r="E38" s="61">
        <v>6</v>
      </c>
      <c r="F38" s="50">
        <v>1</v>
      </c>
      <c r="G38" s="62">
        <v>3</v>
      </c>
      <c r="H38" s="61">
        <v>0</v>
      </c>
      <c r="I38" s="61">
        <v>0</v>
      </c>
      <c r="J38" s="61">
        <v>0</v>
      </c>
      <c r="K38" s="61">
        <v>0</v>
      </c>
      <c r="L38" s="61">
        <v>0</v>
      </c>
      <c r="M38" s="69">
        <v>0</v>
      </c>
      <c r="N38" s="39" t="s">
        <v>119</v>
      </c>
    </row>
    <row r="39" spans="1:14" x14ac:dyDescent="0.4">
      <c r="A39" s="68" t="s">
        <v>42</v>
      </c>
      <c r="B39" s="49">
        <v>8</v>
      </c>
      <c r="C39" s="69" t="s">
        <v>50</v>
      </c>
      <c r="D39" s="61">
        <v>2</v>
      </c>
      <c r="E39" s="61">
        <v>2</v>
      </c>
      <c r="F39" s="53">
        <v>0</v>
      </c>
      <c r="G39" s="61">
        <v>1</v>
      </c>
      <c r="H39" s="61">
        <v>0</v>
      </c>
      <c r="I39" s="61">
        <v>0</v>
      </c>
      <c r="J39" s="61">
        <v>0</v>
      </c>
      <c r="K39" s="61">
        <v>0</v>
      </c>
      <c r="L39" s="61">
        <v>0</v>
      </c>
      <c r="M39" s="69">
        <v>0</v>
      </c>
      <c r="N39" s="39" t="s">
        <v>121</v>
      </c>
    </row>
    <row r="40" spans="1:14" x14ac:dyDescent="0.4">
      <c r="A40" s="79" t="s">
        <v>42</v>
      </c>
      <c r="B40" s="40">
        <v>9</v>
      </c>
      <c r="C40" s="72" t="s">
        <v>51</v>
      </c>
      <c r="D40" s="41">
        <v>5</v>
      </c>
      <c r="E40" s="41">
        <v>5</v>
      </c>
      <c r="F40" s="42">
        <v>1</v>
      </c>
      <c r="G40" s="43">
        <v>2</v>
      </c>
      <c r="H40" s="41">
        <v>0</v>
      </c>
      <c r="I40" s="41">
        <v>0</v>
      </c>
      <c r="J40" s="41">
        <v>0</v>
      </c>
      <c r="K40" s="41">
        <v>0</v>
      </c>
      <c r="L40" s="41">
        <v>0</v>
      </c>
      <c r="M40" s="72">
        <v>0</v>
      </c>
      <c r="N40" s="39" t="s">
        <v>120</v>
      </c>
    </row>
    <row r="41" spans="1:14" x14ac:dyDescent="0.4">
      <c r="A41" s="80" t="s">
        <v>42</v>
      </c>
      <c r="B41" s="45">
        <v>10</v>
      </c>
      <c r="C41" s="71" t="s">
        <v>52</v>
      </c>
      <c r="D41" s="46">
        <v>2</v>
      </c>
      <c r="E41" s="46">
        <v>2</v>
      </c>
      <c r="F41" s="47">
        <v>0</v>
      </c>
      <c r="G41" s="46">
        <v>1</v>
      </c>
      <c r="H41" s="46">
        <v>0</v>
      </c>
      <c r="I41" s="46">
        <v>0</v>
      </c>
      <c r="J41" s="46">
        <v>0</v>
      </c>
      <c r="K41" s="46">
        <v>0</v>
      </c>
      <c r="L41" s="46">
        <v>0</v>
      </c>
      <c r="M41" s="71">
        <v>0</v>
      </c>
      <c r="N41" s="39" t="s">
        <v>121</v>
      </c>
    </row>
    <row r="42" spans="1:14" x14ac:dyDescent="0.4">
      <c r="A42" s="79" t="s">
        <v>42</v>
      </c>
      <c r="B42" s="40">
        <v>11</v>
      </c>
      <c r="C42" s="72" t="s">
        <v>53</v>
      </c>
      <c r="D42" s="41">
        <v>6</v>
      </c>
      <c r="E42" s="41">
        <v>6</v>
      </c>
      <c r="F42" s="42">
        <v>3</v>
      </c>
      <c r="G42" s="43">
        <v>2</v>
      </c>
      <c r="H42" s="41">
        <v>0</v>
      </c>
      <c r="I42" s="41">
        <v>0</v>
      </c>
      <c r="J42" s="41">
        <v>0</v>
      </c>
      <c r="K42" s="41">
        <v>0</v>
      </c>
      <c r="L42" s="41">
        <v>0</v>
      </c>
      <c r="M42" s="72">
        <v>0</v>
      </c>
      <c r="N42" s="39" t="s">
        <v>119</v>
      </c>
    </row>
    <row r="43" spans="1:14" x14ac:dyDescent="0.4">
      <c r="A43" s="80" t="s">
        <v>42</v>
      </c>
      <c r="B43" s="45">
        <v>12</v>
      </c>
      <c r="C43" s="71" t="s">
        <v>54</v>
      </c>
      <c r="D43" s="46">
        <v>2</v>
      </c>
      <c r="E43" s="46">
        <v>2</v>
      </c>
      <c r="F43" s="47">
        <v>0</v>
      </c>
      <c r="G43" s="46">
        <v>1</v>
      </c>
      <c r="H43" s="46">
        <v>0</v>
      </c>
      <c r="I43" s="46">
        <v>0</v>
      </c>
      <c r="J43" s="46">
        <v>0</v>
      </c>
      <c r="K43" s="46">
        <v>0</v>
      </c>
      <c r="L43" s="46">
        <v>0</v>
      </c>
      <c r="M43" s="71">
        <v>0</v>
      </c>
      <c r="N43" s="39" t="s">
        <v>120</v>
      </c>
    </row>
    <row r="44" spans="1:14" x14ac:dyDescent="0.4">
      <c r="A44" s="68" t="s">
        <v>69</v>
      </c>
      <c r="B44" s="49">
        <v>32</v>
      </c>
      <c r="C44" s="69" t="s">
        <v>73</v>
      </c>
      <c r="D44" s="61">
        <v>0</v>
      </c>
      <c r="E44" s="61">
        <v>0</v>
      </c>
      <c r="F44" s="53">
        <v>0</v>
      </c>
      <c r="G44" s="61">
        <v>0</v>
      </c>
      <c r="H44" s="61">
        <v>0</v>
      </c>
      <c r="I44" s="61">
        <v>0</v>
      </c>
      <c r="J44" s="61">
        <v>0</v>
      </c>
      <c r="K44" s="61">
        <v>0</v>
      </c>
      <c r="L44" s="61">
        <v>0</v>
      </c>
      <c r="M44" s="69">
        <v>0</v>
      </c>
    </row>
    <row r="45" spans="1:14" x14ac:dyDescent="0.4">
      <c r="A45" s="68" t="s">
        <v>69</v>
      </c>
      <c r="B45" s="49">
        <v>33</v>
      </c>
      <c r="C45" s="69" t="s">
        <v>74</v>
      </c>
      <c r="D45" s="61">
        <v>0</v>
      </c>
      <c r="E45" s="61">
        <v>0</v>
      </c>
      <c r="F45" s="53">
        <v>0</v>
      </c>
      <c r="G45" s="61">
        <v>0</v>
      </c>
      <c r="H45" s="61">
        <v>0</v>
      </c>
      <c r="I45" s="61">
        <v>0</v>
      </c>
      <c r="J45" s="61">
        <v>0</v>
      </c>
      <c r="K45" s="62">
        <v>1</v>
      </c>
      <c r="L45" s="61">
        <v>0</v>
      </c>
      <c r="M45" s="69">
        <v>0</v>
      </c>
    </row>
    <row r="46" spans="1:14" ht="17.5" thickBot="1" x14ac:dyDescent="0.45">
      <c r="A46" s="73" t="s">
        <v>69</v>
      </c>
      <c r="B46" s="74">
        <v>34</v>
      </c>
      <c r="C46" s="77" t="s">
        <v>75</v>
      </c>
      <c r="D46" s="75">
        <v>1</v>
      </c>
      <c r="E46" s="75">
        <v>1</v>
      </c>
      <c r="F46" s="76">
        <v>0</v>
      </c>
      <c r="G46" s="82">
        <v>2</v>
      </c>
      <c r="H46" s="75">
        <v>0</v>
      </c>
      <c r="I46" s="75">
        <v>0</v>
      </c>
      <c r="J46" s="75">
        <v>0</v>
      </c>
      <c r="K46" s="82">
        <v>1</v>
      </c>
      <c r="L46" s="75">
        <v>0</v>
      </c>
      <c r="M46" s="77">
        <v>0</v>
      </c>
    </row>
    <row r="47" spans="1:14" x14ac:dyDescent="0.4">
      <c r="A47" s="63" t="s">
        <v>76</v>
      </c>
      <c r="B47" s="64">
        <v>35</v>
      </c>
      <c r="C47" s="67" t="s">
        <v>77</v>
      </c>
      <c r="D47" s="65">
        <v>0</v>
      </c>
      <c r="E47" s="65">
        <v>0</v>
      </c>
      <c r="F47" s="78">
        <v>0</v>
      </c>
      <c r="G47" s="65">
        <v>0</v>
      </c>
      <c r="H47" s="65">
        <v>0</v>
      </c>
      <c r="I47" s="65">
        <v>0</v>
      </c>
      <c r="J47" s="65">
        <v>0</v>
      </c>
      <c r="K47" s="65">
        <v>0</v>
      </c>
      <c r="L47" s="65">
        <v>0</v>
      </c>
      <c r="M47" s="67">
        <v>0</v>
      </c>
    </row>
    <row r="48" spans="1:14" x14ac:dyDescent="0.4">
      <c r="A48" s="68" t="s">
        <v>76</v>
      </c>
      <c r="B48" s="49">
        <v>36</v>
      </c>
      <c r="C48" s="69" t="s">
        <v>78</v>
      </c>
      <c r="D48" s="61">
        <v>0</v>
      </c>
      <c r="E48" s="61">
        <v>0</v>
      </c>
      <c r="F48" s="53">
        <v>0</v>
      </c>
      <c r="G48" s="61">
        <v>0</v>
      </c>
      <c r="H48" s="61">
        <v>0</v>
      </c>
      <c r="I48" s="61">
        <v>0</v>
      </c>
      <c r="J48" s="61">
        <v>0</v>
      </c>
      <c r="K48" s="61">
        <v>0</v>
      </c>
      <c r="L48" s="61">
        <v>0</v>
      </c>
      <c r="M48" s="69">
        <v>0</v>
      </c>
    </row>
    <row r="49" spans="1:14" x14ac:dyDescent="0.4">
      <c r="A49" s="68" t="s">
        <v>76</v>
      </c>
      <c r="B49" s="49">
        <v>37</v>
      </c>
      <c r="C49" s="69" t="s">
        <v>79</v>
      </c>
      <c r="D49" s="61">
        <v>0</v>
      </c>
      <c r="E49" s="61">
        <v>0</v>
      </c>
      <c r="F49" s="53">
        <v>0</v>
      </c>
      <c r="G49" s="61">
        <v>0</v>
      </c>
      <c r="H49" s="62">
        <v>1</v>
      </c>
      <c r="I49" s="61">
        <v>0</v>
      </c>
      <c r="J49" s="61">
        <v>0</v>
      </c>
      <c r="K49" s="61">
        <v>0</v>
      </c>
      <c r="L49" s="61">
        <v>0</v>
      </c>
      <c r="M49" s="69">
        <v>0</v>
      </c>
    </row>
    <row r="50" spans="1:14" x14ac:dyDescent="0.4">
      <c r="A50" s="68" t="s">
        <v>76</v>
      </c>
      <c r="B50" s="49">
        <v>38</v>
      </c>
      <c r="C50" s="69" t="s">
        <v>80</v>
      </c>
      <c r="D50" s="61">
        <v>0</v>
      </c>
      <c r="E50" s="61">
        <v>1</v>
      </c>
      <c r="F50" s="50">
        <v>1</v>
      </c>
      <c r="G50" s="61">
        <v>0</v>
      </c>
      <c r="H50" s="62">
        <v>1</v>
      </c>
      <c r="I50" s="61">
        <v>0</v>
      </c>
      <c r="J50" s="61">
        <v>0</v>
      </c>
      <c r="K50" s="62">
        <v>1</v>
      </c>
      <c r="L50" s="61">
        <v>0</v>
      </c>
      <c r="M50" s="69">
        <v>0</v>
      </c>
    </row>
    <row r="51" spans="1:14" ht="17.5" thickBot="1" x14ac:dyDescent="0.45">
      <c r="A51" s="68" t="s">
        <v>76</v>
      </c>
      <c r="B51" s="49">
        <v>39</v>
      </c>
      <c r="C51" s="69" t="s">
        <v>81</v>
      </c>
      <c r="D51" s="61">
        <v>0</v>
      </c>
      <c r="E51" s="61">
        <v>1</v>
      </c>
      <c r="F51" s="50">
        <v>1</v>
      </c>
      <c r="G51" s="61">
        <v>0</v>
      </c>
      <c r="H51" s="61">
        <v>0</v>
      </c>
      <c r="I51" s="62">
        <v>1</v>
      </c>
      <c r="J51" s="61">
        <v>0</v>
      </c>
      <c r="K51" s="61">
        <v>0</v>
      </c>
      <c r="L51" s="61">
        <v>0</v>
      </c>
      <c r="M51" s="69">
        <v>0</v>
      </c>
    </row>
    <row r="52" spans="1:14" x14ac:dyDescent="0.4">
      <c r="A52" s="63" t="s">
        <v>82</v>
      </c>
      <c r="B52" s="64">
        <v>40</v>
      </c>
      <c r="C52" s="67" t="s">
        <v>83</v>
      </c>
      <c r="D52" s="65">
        <v>0</v>
      </c>
      <c r="E52" s="65">
        <v>0</v>
      </c>
      <c r="F52" s="78">
        <v>0</v>
      </c>
      <c r="G52" s="65">
        <v>0</v>
      </c>
      <c r="H52" s="65">
        <v>0</v>
      </c>
      <c r="I52" s="65">
        <v>0</v>
      </c>
      <c r="J52" s="65">
        <v>0</v>
      </c>
      <c r="K52" s="65">
        <v>0</v>
      </c>
      <c r="L52" s="65">
        <v>0</v>
      </c>
      <c r="M52" s="67">
        <v>0</v>
      </c>
    </row>
    <row r="53" spans="1:14" x14ac:dyDescent="0.4">
      <c r="A53" s="68" t="s">
        <v>82</v>
      </c>
      <c r="B53" s="49">
        <v>41</v>
      </c>
      <c r="C53" s="69" t="s">
        <v>84</v>
      </c>
      <c r="D53" s="61">
        <v>0</v>
      </c>
      <c r="E53" s="61">
        <v>0</v>
      </c>
      <c r="F53" s="53">
        <v>0</v>
      </c>
      <c r="G53" s="61">
        <v>0</v>
      </c>
      <c r="H53" s="61">
        <v>0</v>
      </c>
      <c r="I53" s="61">
        <v>0</v>
      </c>
      <c r="J53" s="61">
        <v>0</v>
      </c>
      <c r="K53" s="62">
        <v>1</v>
      </c>
      <c r="L53" s="62">
        <v>1</v>
      </c>
      <c r="M53" s="70">
        <v>1</v>
      </c>
    </row>
    <row r="54" spans="1:14" x14ac:dyDescent="0.4">
      <c r="A54" s="68" t="s">
        <v>82</v>
      </c>
      <c r="B54" s="49">
        <v>42</v>
      </c>
      <c r="C54" s="69" t="s">
        <v>85</v>
      </c>
      <c r="D54" s="61">
        <v>0</v>
      </c>
      <c r="E54" s="61">
        <v>0</v>
      </c>
      <c r="F54" s="53">
        <v>0</v>
      </c>
      <c r="G54" s="61">
        <v>0</v>
      </c>
      <c r="H54" s="62">
        <v>1</v>
      </c>
      <c r="I54" s="61">
        <v>0</v>
      </c>
      <c r="J54" s="61">
        <v>0</v>
      </c>
      <c r="K54" s="61">
        <v>0</v>
      </c>
      <c r="L54" s="61">
        <v>0</v>
      </c>
      <c r="M54" s="69">
        <v>0</v>
      </c>
    </row>
    <row r="55" spans="1:14" x14ac:dyDescent="0.4">
      <c r="A55" s="68" t="s">
        <v>82</v>
      </c>
      <c r="B55" s="49">
        <v>43</v>
      </c>
      <c r="C55" s="69" t="s">
        <v>86</v>
      </c>
      <c r="D55" s="61">
        <v>0</v>
      </c>
      <c r="E55" s="61">
        <v>0</v>
      </c>
      <c r="F55" s="53">
        <v>0</v>
      </c>
      <c r="G55" s="61">
        <v>0</v>
      </c>
      <c r="H55" s="62">
        <v>1</v>
      </c>
      <c r="I55" s="61">
        <v>0</v>
      </c>
      <c r="J55" s="61">
        <v>0</v>
      </c>
      <c r="K55" s="61">
        <v>0</v>
      </c>
      <c r="L55" s="61">
        <v>0</v>
      </c>
      <c r="M55" s="69">
        <v>0</v>
      </c>
    </row>
    <row r="56" spans="1:14" x14ac:dyDescent="0.4">
      <c r="A56" s="68" t="s">
        <v>82</v>
      </c>
      <c r="B56" s="49">
        <v>44</v>
      </c>
      <c r="C56" s="69" t="s">
        <v>87</v>
      </c>
      <c r="D56" s="61">
        <v>0</v>
      </c>
      <c r="E56" s="61">
        <v>1</v>
      </c>
      <c r="F56" s="50">
        <v>1</v>
      </c>
      <c r="G56" s="61">
        <v>0</v>
      </c>
      <c r="H56" s="62">
        <v>1</v>
      </c>
      <c r="I56" s="61">
        <v>0</v>
      </c>
      <c r="J56" s="61">
        <v>0</v>
      </c>
      <c r="K56" s="62">
        <v>1</v>
      </c>
      <c r="L56" s="61">
        <v>0</v>
      </c>
      <c r="M56" s="69">
        <v>0</v>
      </c>
    </row>
    <row r="57" spans="1:14" ht="17.5" thickBot="1" x14ac:dyDescent="0.45">
      <c r="A57" s="73" t="s">
        <v>82</v>
      </c>
      <c r="B57" s="74">
        <v>45</v>
      </c>
      <c r="C57" s="77" t="s">
        <v>88</v>
      </c>
      <c r="D57" s="75">
        <v>0</v>
      </c>
      <c r="E57" s="75">
        <v>1</v>
      </c>
      <c r="F57" s="83">
        <v>1</v>
      </c>
      <c r="G57" s="75">
        <v>0</v>
      </c>
      <c r="H57" s="75">
        <v>0</v>
      </c>
      <c r="I57" s="82">
        <v>1</v>
      </c>
      <c r="J57" s="75">
        <v>0</v>
      </c>
      <c r="K57" s="75">
        <v>0</v>
      </c>
      <c r="L57" s="75">
        <v>0</v>
      </c>
      <c r="M57" s="77">
        <v>0</v>
      </c>
    </row>
    <row r="58" spans="1:14" x14ac:dyDescent="0.4">
      <c r="A58" s="63" t="s">
        <v>97</v>
      </c>
      <c r="B58" s="64">
        <v>53</v>
      </c>
      <c r="C58" s="67" t="s">
        <v>98</v>
      </c>
      <c r="D58" s="65">
        <v>0</v>
      </c>
      <c r="E58" s="65">
        <v>0</v>
      </c>
      <c r="F58" s="78">
        <v>0</v>
      </c>
      <c r="G58" s="65">
        <v>0</v>
      </c>
      <c r="H58" s="65">
        <v>0</v>
      </c>
      <c r="I58" s="65">
        <v>0</v>
      </c>
      <c r="J58" s="65">
        <v>0</v>
      </c>
      <c r="K58" s="65">
        <v>0</v>
      </c>
      <c r="L58" s="65">
        <v>0</v>
      </c>
      <c r="M58" s="67">
        <v>0</v>
      </c>
      <c r="N58" s="39" t="s">
        <v>121</v>
      </c>
    </row>
    <row r="59" spans="1:14" x14ac:dyDescent="0.4">
      <c r="A59" s="68" t="s">
        <v>97</v>
      </c>
      <c r="B59" s="49">
        <v>54</v>
      </c>
      <c r="C59" s="69" t="s">
        <v>122</v>
      </c>
      <c r="D59" s="61">
        <v>0</v>
      </c>
      <c r="E59" s="61">
        <v>0</v>
      </c>
      <c r="F59" s="53">
        <v>0</v>
      </c>
      <c r="G59" s="61">
        <v>0</v>
      </c>
      <c r="H59" s="61">
        <v>0</v>
      </c>
      <c r="I59" s="61">
        <v>0</v>
      </c>
      <c r="J59" s="61">
        <v>0</v>
      </c>
      <c r="K59" s="61">
        <v>0</v>
      </c>
      <c r="L59" s="61">
        <v>0</v>
      </c>
      <c r="M59" s="69">
        <v>0</v>
      </c>
      <c r="N59" s="39" t="s">
        <v>121</v>
      </c>
    </row>
    <row r="60" spans="1:14" x14ac:dyDescent="0.4">
      <c r="A60" s="68" t="s">
        <v>97</v>
      </c>
      <c r="B60" s="49">
        <v>55</v>
      </c>
      <c r="C60" s="69" t="s">
        <v>123</v>
      </c>
      <c r="D60" s="61">
        <v>0</v>
      </c>
      <c r="E60" s="61">
        <v>1</v>
      </c>
      <c r="F60" s="50">
        <v>1</v>
      </c>
      <c r="G60" s="61">
        <v>0</v>
      </c>
      <c r="H60" s="61">
        <v>0</v>
      </c>
      <c r="I60" s="61">
        <v>0</v>
      </c>
      <c r="J60" s="61">
        <v>0</v>
      </c>
      <c r="K60" s="61">
        <v>0</v>
      </c>
      <c r="L60" s="61">
        <v>0</v>
      </c>
      <c r="M60" s="69">
        <v>0</v>
      </c>
      <c r="N60" s="39" t="s">
        <v>120</v>
      </c>
    </row>
    <row r="61" spans="1:14" x14ac:dyDescent="0.4">
      <c r="A61" s="68" t="s">
        <v>97</v>
      </c>
      <c r="B61" s="49">
        <v>56</v>
      </c>
      <c r="C61" s="69" t="s">
        <v>124</v>
      </c>
      <c r="D61" s="61">
        <v>0</v>
      </c>
      <c r="E61" s="61">
        <v>2</v>
      </c>
      <c r="F61" s="50">
        <v>2</v>
      </c>
      <c r="G61" s="61">
        <v>0</v>
      </c>
      <c r="H61" s="61">
        <v>0</v>
      </c>
      <c r="I61" s="61">
        <v>0</v>
      </c>
      <c r="J61" s="61">
        <v>0</v>
      </c>
      <c r="K61" s="61">
        <v>0</v>
      </c>
      <c r="L61" s="61">
        <v>0</v>
      </c>
      <c r="M61" s="69">
        <v>0</v>
      </c>
      <c r="N61" s="39" t="s">
        <v>120</v>
      </c>
    </row>
    <row r="62" spans="1:14" x14ac:dyDescent="0.4">
      <c r="A62" s="68" t="s">
        <v>97</v>
      </c>
      <c r="B62" s="49">
        <v>57</v>
      </c>
      <c r="C62" s="69" t="s">
        <v>125</v>
      </c>
      <c r="D62" s="61">
        <v>0</v>
      </c>
      <c r="E62" s="61">
        <v>3</v>
      </c>
      <c r="F62" s="50">
        <v>3</v>
      </c>
      <c r="G62" s="61">
        <v>0</v>
      </c>
      <c r="H62" s="61">
        <v>0</v>
      </c>
      <c r="I62" s="61">
        <v>0</v>
      </c>
      <c r="J62" s="61">
        <v>0</v>
      </c>
      <c r="K62" s="61">
        <v>0</v>
      </c>
      <c r="L62" s="61">
        <v>0</v>
      </c>
      <c r="M62" s="69">
        <v>0</v>
      </c>
      <c r="N62" s="39" t="s">
        <v>119</v>
      </c>
    </row>
    <row r="63" spans="1:14" ht="17.5" thickBot="1" x14ac:dyDescent="0.45">
      <c r="A63" s="73" t="s">
        <v>97</v>
      </c>
      <c r="B63" s="74">
        <v>58</v>
      </c>
      <c r="C63" s="77" t="s">
        <v>126</v>
      </c>
      <c r="D63" s="75">
        <v>0</v>
      </c>
      <c r="E63" s="75">
        <v>4</v>
      </c>
      <c r="F63" s="83">
        <v>4</v>
      </c>
      <c r="G63" s="75">
        <v>0</v>
      </c>
      <c r="H63" s="75">
        <v>0</v>
      </c>
      <c r="I63" s="75">
        <v>0</v>
      </c>
      <c r="J63" s="75">
        <v>0</v>
      </c>
      <c r="K63" s="75">
        <v>0</v>
      </c>
      <c r="L63" s="75">
        <v>0</v>
      </c>
      <c r="M63" s="77">
        <v>0</v>
      </c>
      <c r="N63" s="39" t="s">
        <v>119</v>
      </c>
    </row>
    <row r="64" spans="1:14" x14ac:dyDescent="0.4">
      <c r="A64" s="63" t="s">
        <v>89</v>
      </c>
      <c r="B64" s="64">
        <v>46</v>
      </c>
      <c r="C64" s="67" t="s">
        <v>90</v>
      </c>
      <c r="D64" s="65">
        <v>0</v>
      </c>
      <c r="E64" s="65">
        <v>1</v>
      </c>
      <c r="F64" s="66">
        <v>1</v>
      </c>
      <c r="G64" s="65">
        <v>0</v>
      </c>
      <c r="H64" s="65">
        <v>0</v>
      </c>
      <c r="I64" s="65">
        <v>0</v>
      </c>
      <c r="J64" s="65">
        <v>0</v>
      </c>
      <c r="K64" s="65">
        <v>0</v>
      </c>
      <c r="L64" s="65">
        <v>0</v>
      </c>
      <c r="M64" s="67">
        <v>0</v>
      </c>
    </row>
    <row r="65" spans="1:13" x14ac:dyDescent="0.4">
      <c r="A65" s="68" t="s">
        <v>89</v>
      </c>
      <c r="B65" s="49">
        <v>47</v>
      </c>
      <c r="C65" s="69" t="s">
        <v>91</v>
      </c>
      <c r="D65" s="61">
        <v>0</v>
      </c>
      <c r="E65" s="61">
        <v>1</v>
      </c>
      <c r="F65" s="50">
        <v>1</v>
      </c>
      <c r="G65" s="61">
        <v>0</v>
      </c>
      <c r="H65" s="61">
        <v>0</v>
      </c>
      <c r="I65" s="61">
        <v>0</v>
      </c>
      <c r="J65" s="61">
        <v>0</v>
      </c>
      <c r="K65" s="61">
        <v>0</v>
      </c>
      <c r="L65" s="61">
        <v>0</v>
      </c>
      <c r="M65" s="69">
        <v>0</v>
      </c>
    </row>
    <row r="66" spans="1:13" x14ac:dyDescent="0.4">
      <c r="A66" s="68" t="s">
        <v>89</v>
      </c>
      <c r="B66" s="49">
        <v>48</v>
      </c>
      <c r="C66" s="69" t="s">
        <v>92</v>
      </c>
      <c r="D66" s="61">
        <v>0</v>
      </c>
      <c r="E66" s="61">
        <v>2</v>
      </c>
      <c r="F66" s="50">
        <v>2</v>
      </c>
      <c r="G66" s="61">
        <v>0</v>
      </c>
      <c r="H66" s="61">
        <v>0</v>
      </c>
      <c r="I66" s="61">
        <v>0</v>
      </c>
      <c r="J66" s="62">
        <v>1</v>
      </c>
      <c r="K66" s="62">
        <v>1</v>
      </c>
      <c r="L66" s="62">
        <v>1</v>
      </c>
      <c r="M66" s="69">
        <v>0</v>
      </c>
    </row>
    <row r="67" spans="1:13" x14ac:dyDescent="0.4">
      <c r="A67" s="68" t="s">
        <v>89</v>
      </c>
      <c r="B67" s="49">
        <v>49</v>
      </c>
      <c r="C67" s="69" t="s">
        <v>93</v>
      </c>
      <c r="D67" s="61">
        <v>0</v>
      </c>
      <c r="E67" s="61">
        <v>0</v>
      </c>
      <c r="F67" s="53">
        <v>0</v>
      </c>
      <c r="G67" s="61">
        <v>0</v>
      </c>
      <c r="H67" s="61">
        <v>0</v>
      </c>
      <c r="I67" s="61">
        <v>0</v>
      </c>
      <c r="J67" s="61">
        <v>0</v>
      </c>
      <c r="K67" s="61">
        <v>0</v>
      </c>
      <c r="L67" s="61">
        <v>0</v>
      </c>
      <c r="M67" s="69">
        <v>0</v>
      </c>
    </row>
    <row r="68" spans="1:13" x14ac:dyDescent="0.4">
      <c r="A68" s="68" t="s">
        <v>89</v>
      </c>
      <c r="B68" s="49">
        <v>50</v>
      </c>
      <c r="C68" s="69" t="s">
        <v>94</v>
      </c>
      <c r="D68" s="61">
        <v>0</v>
      </c>
      <c r="E68" s="61">
        <v>0</v>
      </c>
      <c r="F68" s="53">
        <v>0</v>
      </c>
      <c r="G68" s="61">
        <v>0</v>
      </c>
      <c r="H68" s="61">
        <v>0</v>
      </c>
      <c r="I68" s="61">
        <v>0</v>
      </c>
      <c r="J68" s="61">
        <v>0</v>
      </c>
      <c r="K68" s="61">
        <v>0</v>
      </c>
      <c r="L68" s="61">
        <v>0</v>
      </c>
      <c r="M68" s="69">
        <v>0</v>
      </c>
    </row>
    <row r="69" spans="1:13" x14ac:dyDescent="0.4">
      <c r="A69" s="68" t="s">
        <v>89</v>
      </c>
      <c r="B69" s="49">
        <v>51</v>
      </c>
      <c r="C69" s="69" t="s">
        <v>95</v>
      </c>
      <c r="D69" s="61">
        <v>0</v>
      </c>
      <c r="E69" s="61">
        <v>0</v>
      </c>
      <c r="F69" s="53">
        <v>0</v>
      </c>
      <c r="G69" s="61">
        <v>0</v>
      </c>
      <c r="H69" s="61">
        <v>0</v>
      </c>
      <c r="I69" s="61">
        <v>0</v>
      </c>
      <c r="J69" s="61">
        <v>0</v>
      </c>
      <c r="K69" s="61">
        <v>0</v>
      </c>
      <c r="L69" s="61">
        <v>0</v>
      </c>
      <c r="M69" s="69">
        <v>0</v>
      </c>
    </row>
    <row r="70" spans="1:13" ht="17.5" thickBot="1" x14ac:dyDescent="0.45">
      <c r="A70" s="73" t="s">
        <v>89</v>
      </c>
      <c r="B70" s="74">
        <v>52</v>
      </c>
      <c r="C70" s="77" t="s">
        <v>96</v>
      </c>
      <c r="D70" s="75">
        <v>0</v>
      </c>
      <c r="E70" s="75">
        <v>0</v>
      </c>
      <c r="F70" s="76">
        <v>0</v>
      </c>
      <c r="G70" s="75">
        <v>0</v>
      </c>
      <c r="H70" s="75">
        <v>0</v>
      </c>
      <c r="I70" s="75">
        <v>0</v>
      </c>
      <c r="J70" s="75">
        <v>0</v>
      </c>
      <c r="K70" s="75">
        <v>0</v>
      </c>
      <c r="L70" s="75">
        <v>0</v>
      </c>
      <c r="M70" s="77">
        <v>0</v>
      </c>
    </row>
    <row r="71" spans="1:13" x14ac:dyDescent="0.4">
      <c r="A71" s="59"/>
      <c r="B71" s="59"/>
      <c r="C71" s="59"/>
      <c r="D71" s="33"/>
      <c r="E71" s="33"/>
      <c r="F71" s="33"/>
      <c r="G71" s="33"/>
      <c r="H71" s="33"/>
      <c r="I71" s="33"/>
      <c r="J71" s="33"/>
      <c r="K71" s="33"/>
      <c r="L71" s="33"/>
      <c r="M71" s="33"/>
    </row>
  </sheetData>
  <phoneticPr fontId="1" type="noConversion"/>
  <printOptions horizontalCentered="1"/>
  <pageMargins left="0.39370078740157483" right="0.39370078740157483" top="0.39370078740157483" bottom="0.39370078740157483" header="0.31496062992125984" footer="0.31496062992125984"/>
  <pageSetup paperSize="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火災分級-原本</vt:lpstr>
      <vt:lpstr>火災分級-修正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Po-Yu</cp:lastModifiedBy>
  <cp:lastPrinted>2026-09-21T01:00:48Z</cp:lastPrinted>
  <dcterms:created xsi:type="dcterms:W3CDTF">2026-09-18T13:48:28Z</dcterms:created>
  <dcterms:modified xsi:type="dcterms:W3CDTF">2026-09-22T21:04:17Z</dcterms:modified>
</cp:coreProperties>
</file>